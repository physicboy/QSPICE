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<sst xmlns="http://schemas.openxmlformats.org/spreadsheetml/2006/main" count="41" uniqueCount="18">
  <si>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Ts</t>
  </si>
  <si>
    <t>K</t>
  </si>
  <si>
    <t>Kp</t>
  </si>
  <si>
    <t>wz</t>
  </si>
  <si>
    <t>KiTs</t>
  </si>
  <si>
    <t>L</t>
  </si>
  <si>
    <t>wp</t>
  </si>
  <si>
    <t>R</t>
  </si>
  <si>
    <t>delay</t>
  </si>
  <si>
    <t>plant</t>
  </si>
  <si>
    <t>controller</t>
  </si>
  <si>
    <t>total</t>
  </si>
  <si>
    <t>F</t>
  </si>
  <si>
    <t>f</t>
  </si>
  <si>
    <t>mag</t>
  </si>
  <si>
    <t>phase</t>
  </si>
  <si>
    <t>C</t>
  </si>
  <si>
    <t>Tau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</si>
</sst>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Sheet1!$C$7:$C$32</c:f>
              <c:numCache>
                <c:formatCode>General</c:formatCode>
                <c:ptCount val="26"/>
                <c:pt idx="0">
                  <c:v>39.5912243921165</c:v>
                </c:pt>
                <c:pt idx="1">
                  <c:v>39.0381560272065</c:v>
                </c:pt>
                <c:pt idx="2">
                  <c:v>37.8975375129056</c:v>
                </c:pt>
                <c:pt idx="3">
                  <c:v>35.9104355108373</c:v>
                </c:pt>
                <c:pt idx="4">
                  <c:v>33.0722705956551</c:v>
                </c:pt>
                <c:pt idx="5">
                  <c:v>29.637862617601</c:v>
                </c:pt>
                <c:pt idx="6">
                  <c:v>25.8852633951396</c:v>
                </c:pt>
                <c:pt idx="7">
                  <c:v>21.9878161587514</c:v>
                </c:pt>
                <c:pt idx="8">
                  <c:v>18.0293267551661</c:v>
                </c:pt>
                <c:pt idx="9">
                  <c:v>14.0459634759083</c:v>
                </c:pt>
                <c:pt idx="10">
                  <c:v>10.0526044507468</c:v>
                </c:pt>
                <c:pt idx="11">
                  <c:v>6.05525109915436</c:v>
                </c:pt>
                <c:pt idx="12">
                  <c:v>2.05630519789518</c:v>
                </c:pt>
                <c:pt idx="13">
                  <c:v>-1.94327508662584</c:v>
                </c:pt>
                <c:pt idx="14">
                  <c:v>-5.94310798359492</c:v>
                </c:pt>
                <c:pt idx="15">
                  <c:v>-9.94304145689069</c:v>
                </c:pt>
                <c:pt idx="16">
                  <c:v>-13.9430149718491</c:v>
                </c:pt>
                <c:pt idx="17">
                  <c:v>-17.9430044279192</c:v>
                </c:pt>
                <c:pt idx="18">
                  <c:v>-21.943000230298</c:v>
                </c:pt>
                <c:pt idx="19">
                  <c:v>-25.9429985591937</c:v>
                </c:pt>
                <c:pt idx="20">
                  <c:v>-29.9429978939149</c:v>
                </c:pt>
                <c:pt idx="21">
                  <c:v>-33.9429976290627</c:v>
                </c:pt>
                <c:pt idx="22">
                  <c:v>-37.9429975236231</c:v>
                </c:pt>
                <c:pt idx="23">
                  <c:v>-41.9429974816468</c:v>
                </c:pt>
                <c:pt idx="24">
                  <c:v>-45.9429974649358</c:v>
                </c:pt>
                <c:pt idx="25">
                  <c:v>-49.942997458283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Sheet1!$D$7:$D$32</c:f>
              <c:numCache>
                <c:formatCode>General</c:formatCode>
                <c:ptCount val="26"/>
                <c:pt idx="0">
                  <c:v>-17.4405944905119</c:v>
                </c:pt>
                <c:pt idx="1">
                  <c:v>-26.4691211924443</c:v>
                </c:pt>
                <c:pt idx="2">
                  <c:v>-38.2781148968874</c:v>
                </c:pt>
                <c:pt idx="3">
                  <c:v>-51.3556270565495</c:v>
                </c:pt>
                <c:pt idx="4">
                  <c:v>-63.229641402524</c:v>
                </c:pt>
                <c:pt idx="5">
                  <c:v>-72.3432128485871</c:v>
                </c:pt>
                <c:pt idx="6">
                  <c:v>-78.6437998250039</c:v>
                </c:pt>
                <c:pt idx="7">
                  <c:v>-82.7778900127961</c:v>
                </c:pt>
                <c:pt idx="8">
                  <c:v>-85.4285935000844</c:v>
                </c:pt>
                <c:pt idx="9">
                  <c:v>-87.1119498631784</c:v>
                </c:pt>
                <c:pt idx="10">
                  <c:v>-88.1768342791859</c:v>
                </c:pt>
                <c:pt idx="11">
                  <c:v>-88.8494264749841</c:v>
                </c:pt>
                <c:pt idx="12">
                  <c:v>-89.2739784453716</c:v>
                </c:pt>
                <c:pt idx="13">
                  <c:v>-89.5418966103686</c:v>
                </c:pt>
                <c:pt idx="14">
                  <c:v>-89.7109525945669</c:v>
                </c:pt>
                <c:pt idx="15">
                  <c:v>-89.817622485399</c:v>
                </c:pt>
                <c:pt idx="16">
                  <c:v>-89.8849273337745</c:v>
                </c:pt>
                <c:pt idx="17">
                  <c:v>-89.9273939973378</c:v>
                </c:pt>
                <c:pt idx="18">
                  <c:v>-89.9541886946075</c:v>
                </c:pt>
                <c:pt idx="19">
                  <c:v>-89.971095016695</c:v>
                </c:pt>
                <c:pt idx="20">
                  <c:v>-89.9817621875603</c:v>
                </c:pt>
                <c:pt idx="21">
                  <c:v>-89.98849271806</c:v>
                </c:pt>
                <c:pt idx="22">
                  <c:v>-89.9927393958862</c:v>
                </c:pt>
                <c:pt idx="23">
                  <c:v>-89.9954188684943</c:v>
                </c:pt>
                <c:pt idx="24">
                  <c:v>-89.9971095014267</c:v>
                </c:pt>
                <c:pt idx="25">
                  <c:v>-89.9981762186951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Sheet1!$E$7:$E$32</c:f>
              <c:numCache>
                <c:formatCode>General</c:formatCode>
                <c:ptCount val="26"/>
                <c:pt idx="0">
                  <c:v>55.9690302998428</c:v>
                </c:pt>
                <c:pt idx="1">
                  <c:v>51.9700668771637</c:v>
                </c:pt>
                <c:pt idx="2">
                  <c:v>47.9726695509253</c:v>
                </c:pt>
                <c:pt idx="3">
                  <c:v>43.9792003004264</c:v>
                </c:pt>
                <c:pt idx="4">
                  <c:v>39.9955616152343</c:v>
                </c:pt>
                <c:pt idx="5">
                  <c:v>36.0363895471236</c:v>
                </c:pt>
                <c:pt idx="6">
                  <c:v>32.1372830283561</c:v>
                </c:pt>
                <c:pt idx="7">
                  <c:v>28.3808360637346</c:v>
                </c:pt>
                <c:pt idx="8">
                  <c:v>24.9384017849612</c:v>
                </c:pt>
                <c:pt idx="9">
                  <c:v>22.0866569849551</c:v>
                </c:pt>
                <c:pt idx="10">
                  <c:v>20.0830707938971</c:v>
                </c:pt>
                <c:pt idx="11">
                  <c:v>18.9289032978624</c:v>
                </c:pt>
                <c:pt idx="12">
                  <c:v>18.3677980595813</c:v>
                </c:pt>
                <c:pt idx="13">
                  <c:v>18.1224154938758</c:v>
                </c:pt>
                <c:pt idx="14">
                  <c:v>18.0203885717766</c:v>
                </c:pt>
                <c:pt idx="15">
                  <c:v>17.9782203011723</c:v>
                </c:pt>
                <c:pt idx="16">
                  <c:v>17.9591153959683</c:v>
                </c:pt>
                <c:pt idx="17">
                  <c:v>17.945951372973</c:v>
                </c:pt>
                <c:pt idx="18">
                  <c:v>17.9268312294</c:v>
                </c:pt>
                <c:pt idx="19">
                  <c:v>17.8846191628591</c:v>
                </c:pt>
                <c:pt idx="20">
                  <c:v>17.7824834443069</c:v>
                </c:pt>
                <c:pt idx="21">
                  <c:v>17.5368476980688</c:v>
                </c:pt>
                <c:pt idx="22">
                  <c:v>16.9752139908898</c:v>
                </c:pt>
                <c:pt idx="23">
                  <c:v>15.8201522097312</c:v>
                </c:pt>
                <c:pt idx="24">
                  <c:v>13.8154805562783</c:v>
                </c:pt>
                <c:pt idx="25">
                  <c:v>10.9628445326497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Sheet1!$F$7:$F$32</c:f>
              <c:numCache>
                <c:formatCode>General</c:formatCode>
                <c:ptCount val="26"/>
                <c:pt idx="0">
                  <c:v>-89.2910838112805</c:v>
                </c:pt>
                <c:pt idx="1">
                  <c:v>-88.876534341707</c:v>
                </c:pt>
                <c:pt idx="2">
                  <c:v>-88.2197881590949</c:v>
                </c:pt>
                <c:pt idx="3">
                  <c:v>-87.1799906525049</c:v>
                </c:pt>
                <c:pt idx="4">
                  <c:v>-85.5362862559078</c:v>
                </c:pt>
                <c:pt idx="5">
                  <c:v>-82.948003349024</c:v>
                </c:pt>
                <c:pt idx="6">
                  <c:v>-78.9112225441982</c:v>
                </c:pt>
                <c:pt idx="7">
                  <c:v>-72.7590052304183</c:v>
                </c:pt>
                <c:pt idx="8">
                  <c:v>-63.8620348138036</c:v>
                </c:pt>
                <c:pt idx="9">
                  <c:v>-52.2866005678806</c:v>
                </c:pt>
                <c:pt idx="10">
                  <c:v>-39.6164786602044</c:v>
                </c:pt>
                <c:pt idx="11">
                  <c:v>-28.4118817246708</c:v>
                </c:pt>
                <c:pt idx="12">
                  <c:v>-20.3529963416534</c:v>
                </c:pt>
                <c:pt idx="13">
                  <c:v>-15.701297143328</c:v>
                </c:pt>
                <c:pt idx="14">
                  <c:v>-14.1577559492541</c:v>
                </c:pt>
                <c:pt idx="15">
                  <c:v>-15.5956281472962</c:v>
                </c:pt>
                <c:pt idx="16">
                  <c:v>-20.3803951713868</c:v>
                </c:pt>
                <c:pt idx="17">
                  <c:v>-29.5582117643109</c:v>
                </c:pt>
                <c:pt idx="18">
                  <c:v>-45.1101085837066</c:v>
                </c:pt>
                <c:pt idx="19">
                  <c:v>-70.3795857895653</c:v>
                </c:pt>
                <c:pt idx="20">
                  <c:v>-110.765868176418</c:v>
                </c:pt>
                <c:pt idx="21">
                  <c:v>-174.779608604498</c:v>
                </c:pt>
                <c:pt idx="22">
                  <c:v>-275.532185519871</c:v>
                </c:pt>
                <c:pt idx="23">
                  <c:v>-432.767933300645</c:v>
                </c:pt>
                <c:pt idx="24">
                  <c:v>-676.325088359103</c:v>
                </c:pt>
                <c:pt idx="25">
                  <c:v>-1053.48054334593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Sheet1!$G$6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Sheet1!$G$7:$G$32</c:f>
              <c:numCache>
                <c:formatCode>General</c:formatCode>
                <c:ptCount val="26"/>
                <c:pt idx="0">
                  <c:v>95.5602546919593</c:v>
                </c:pt>
                <c:pt idx="1">
                  <c:v>91.0082229043702</c:v>
                </c:pt>
                <c:pt idx="2">
                  <c:v>85.8702070638309</c:v>
                </c:pt>
                <c:pt idx="3">
                  <c:v>79.8896358112637</c:v>
                </c:pt>
                <c:pt idx="4">
                  <c:v>73.0678322108894</c:v>
                </c:pt>
                <c:pt idx="5">
                  <c:v>65.6742521647246</c:v>
                </c:pt>
                <c:pt idx="6">
                  <c:v>58.0225464234957</c:v>
                </c:pt>
                <c:pt idx="7">
                  <c:v>50.3686522224859</c:v>
                </c:pt>
                <c:pt idx="8">
                  <c:v>42.9677285401273</c:v>
                </c:pt>
                <c:pt idx="9">
                  <c:v>36.1326204608634</c:v>
                </c:pt>
                <c:pt idx="10">
                  <c:v>30.1356752446439</c:v>
                </c:pt>
                <c:pt idx="11">
                  <c:v>24.9841543970167</c:v>
                </c:pt>
                <c:pt idx="12">
                  <c:v>20.4241032574764</c:v>
                </c:pt>
                <c:pt idx="13">
                  <c:v>16.17914040725</c:v>
                </c:pt>
                <c:pt idx="14">
                  <c:v>12.0772805881816</c:v>
                </c:pt>
                <c:pt idx="15">
                  <c:v>8.03517884428162</c:v>
                </c:pt>
                <c:pt idx="16">
                  <c:v>4.01610042411915</c:v>
                </c:pt>
                <c:pt idx="17">
                  <c:v>0.00294694505386417</c:v>
                </c:pt>
                <c:pt idx="18">
                  <c:v>-4.01616900089791</c:v>
                </c:pt>
                <c:pt idx="19">
                  <c:v>-8.05837939633457</c:v>
                </c:pt>
                <c:pt idx="20">
                  <c:v>-12.160514449608</c:v>
                </c:pt>
                <c:pt idx="21">
                  <c:v>-16.4061499309939</c:v>
                </c:pt>
                <c:pt idx="22">
                  <c:v>-20.9677835327333</c:v>
                </c:pt>
                <c:pt idx="23">
                  <c:v>-26.1228452719156</c:v>
                </c:pt>
                <c:pt idx="24">
                  <c:v>-32.1275169086575</c:v>
                </c:pt>
                <c:pt idx="25">
                  <c:v>-38.9801529256333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Sheet1!$H$6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Sheet1!$B$7:$B$32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Sheet1!$H$7:$H$32</c:f>
              <c:numCache>
                <c:formatCode>General</c:formatCode>
                <c:ptCount val="26"/>
                <c:pt idx="0">
                  <c:v>73.2683216982076</c:v>
                </c:pt>
                <c:pt idx="1">
                  <c:v>64.6543444658486</c:v>
                </c:pt>
                <c:pt idx="2">
                  <c:v>53.5020969440177</c:v>
                </c:pt>
                <c:pt idx="3">
                  <c:v>41.4643822909456</c:v>
                </c:pt>
                <c:pt idx="4">
                  <c:v>31.2340723415682</c:v>
                </c:pt>
                <c:pt idx="5">
                  <c:v>24.7087838023889</c:v>
                </c:pt>
                <c:pt idx="6">
                  <c:v>22.4449776307979</c:v>
                </c:pt>
                <c:pt idx="7">
                  <c:v>24.4631047567856</c:v>
                </c:pt>
                <c:pt idx="8">
                  <c:v>30.7093716861119</c:v>
                </c:pt>
                <c:pt idx="9">
                  <c:v>40.601449568941</c:v>
                </c:pt>
                <c:pt idx="10">
                  <c:v>52.2066870606098</c:v>
                </c:pt>
                <c:pt idx="11">
                  <c:v>62.7386918003452</c:v>
                </c:pt>
                <c:pt idx="12">
                  <c:v>70.3730252129751</c:v>
                </c:pt>
                <c:pt idx="13">
                  <c:v>74.7568062463034</c:v>
                </c:pt>
                <c:pt idx="14">
                  <c:v>76.131291456179</c:v>
                </c:pt>
                <c:pt idx="15">
                  <c:v>74.5867493673048</c:v>
                </c:pt>
                <c:pt idx="16">
                  <c:v>69.7346774948387</c:v>
                </c:pt>
                <c:pt idx="17">
                  <c:v>60.5143942383513</c:v>
                </c:pt>
                <c:pt idx="18">
                  <c:v>44.9357027216859</c:v>
                </c:pt>
                <c:pt idx="19">
                  <c:v>19.6493191937397</c:v>
                </c:pt>
                <c:pt idx="20">
                  <c:v>-20.7476303639782</c:v>
                </c:pt>
                <c:pt idx="21">
                  <c:v>-84.768101322558</c:v>
                </c:pt>
                <c:pt idx="22">
                  <c:v>-185.524924915757</c:v>
                </c:pt>
                <c:pt idx="23">
                  <c:v>-342.76335216914</c:v>
                </c:pt>
                <c:pt idx="24">
                  <c:v>-586.32219786053</c:v>
                </c:pt>
                <c:pt idx="25">
                  <c:v>-963.47871956463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  <c:max val="180"/>
          <c:min val="-1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  <c:majorUnit val="4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Sheet1!$C$42:$C$67</c:f>
              <c:numCache>
                <c:formatCode>General</c:formatCode>
                <c:ptCount val="26"/>
                <c:pt idx="0">
                  <c:v>44.036402649983</c:v>
                </c:pt>
                <c:pt idx="1">
                  <c:v>40.036402649983</c:v>
                </c:pt>
                <c:pt idx="2">
                  <c:v>36.036402649983</c:v>
                </c:pt>
                <c:pt idx="3">
                  <c:v>32.036402649983</c:v>
                </c:pt>
                <c:pt idx="4">
                  <c:v>28.036402649983</c:v>
                </c:pt>
                <c:pt idx="5">
                  <c:v>24.036402649983</c:v>
                </c:pt>
                <c:pt idx="6">
                  <c:v>20.036402649983</c:v>
                </c:pt>
                <c:pt idx="7">
                  <c:v>16.036402649983</c:v>
                </c:pt>
                <c:pt idx="8">
                  <c:v>12.036402649983</c:v>
                </c:pt>
                <c:pt idx="9">
                  <c:v>8.03640264998297</c:v>
                </c:pt>
                <c:pt idx="10">
                  <c:v>4.03640264998297</c:v>
                </c:pt>
                <c:pt idx="11">
                  <c:v>0.0364026499829723</c:v>
                </c:pt>
                <c:pt idx="12">
                  <c:v>-3.96359735001703</c:v>
                </c:pt>
                <c:pt idx="13">
                  <c:v>-7.96359735001703</c:v>
                </c:pt>
                <c:pt idx="14">
                  <c:v>-11.963597350017</c:v>
                </c:pt>
                <c:pt idx="15">
                  <c:v>-15.963597350017</c:v>
                </c:pt>
                <c:pt idx="16">
                  <c:v>-19.963597350017</c:v>
                </c:pt>
                <c:pt idx="17">
                  <c:v>-23.963597350017</c:v>
                </c:pt>
                <c:pt idx="18">
                  <c:v>-27.963597350017</c:v>
                </c:pt>
                <c:pt idx="19">
                  <c:v>-31.963597350017</c:v>
                </c:pt>
                <c:pt idx="20">
                  <c:v>-35.963597350017</c:v>
                </c:pt>
                <c:pt idx="21">
                  <c:v>-39.963597350017</c:v>
                </c:pt>
                <c:pt idx="22">
                  <c:v>-43.963597350017</c:v>
                </c:pt>
                <c:pt idx="23">
                  <c:v>-47.963597350017</c:v>
                </c:pt>
                <c:pt idx="24">
                  <c:v>-51.963597350017</c:v>
                </c:pt>
                <c:pt idx="25">
                  <c:v>-55.963597350017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Sheet1!$D$42:$D$67</c:f>
              <c:numCache>
                <c:formatCode>General</c:formatCode>
                <c:ptCount val="26"/>
                <c:pt idx="0">
                  <c:v>-89.9964000000047</c:v>
                </c:pt>
                <c:pt idx="1">
                  <c:v>-89.994294384526</c:v>
                </c:pt>
                <c:pt idx="2">
                  <c:v>-89.9909572089216</c:v>
                </c:pt>
                <c:pt idx="3">
                  <c:v>-89.985668142159</c:v>
                </c:pt>
                <c:pt idx="4">
                  <c:v>-89.9772855367887</c:v>
                </c:pt>
                <c:pt idx="5">
                  <c:v>-89.9640000047374</c:v>
                </c:pt>
                <c:pt idx="6">
                  <c:v>-89.9429438639314</c:v>
                </c:pt>
                <c:pt idx="7">
                  <c:v>-89.9095721635484</c:v>
                </c:pt>
                <c:pt idx="8">
                  <c:v>-89.85668171751</c:v>
                </c:pt>
                <c:pt idx="9">
                  <c:v>-89.7728565459595</c:v>
                </c:pt>
                <c:pt idx="10">
                  <c:v>-89.6400047372979</c:v>
                </c:pt>
                <c:pt idx="11">
                  <c:v>-89.4294573095613</c:v>
                </c:pt>
                <c:pt idx="12">
                  <c:v>-89.0957959563274</c:v>
                </c:pt>
                <c:pt idx="13">
                  <c:v>-88.5671129842127</c:v>
                </c:pt>
                <c:pt idx="14">
                  <c:v>-87.729742422595</c:v>
                </c:pt>
                <c:pt idx="15">
                  <c:v>-86.4047262201318</c:v>
                </c:pt>
                <c:pt idx="16">
                  <c:v>-84.3131330499896</c:v>
                </c:pt>
                <c:pt idx="17">
                  <c:v>-81.0311891707787</c:v>
                </c:pt>
                <c:pt idx="18">
                  <c:v>-75.9563089984628</c:v>
                </c:pt>
                <c:pt idx="19">
                  <c:v>-68.3745363376085</c:v>
                </c:pt>
                <c:pt idx="20">
                  <c:v>-57.858092364658</c:v>
                </c:pt>
                <c:pt idx="21">
                  <c:v>-45.1200631832732</c:v>
                </c:pt>
                <c:pt idx="22">
                  <c:v>-32.3586430361323</c:v>
                </c:pt>
                <c:pt idx="23">
                  <c:v>-21.7904998385399</c:v>
                </c:pt>
                <c:pt idx="24">
                  <c:v>-14.1571658063497</c:v>
                </c:pt>
                <c:pt idx="25">
                  <c:v>-9.0430610790377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Sheet1!$E$42:$E$67</c:f>
              <c:numCache>
                <c:formatCode>General</c:formatCode>
                <c:ptCount val="26"/>
                <c:pt idx="0">
                  <c:v>27.4443724580399</c:v>
                </c:pt>
                <c:pt idx="1">
                  <c:v>23.448504964133</c:v>
                </c:pt>
                <c:pt idx="2">
                  <c:v>19.4588679522436</c:v>
                </c:pt>
                <c:pt idx="3">
                  <c:v>15.4847895092565</c:v>
                </c:pt>
                <c:pt idx="4">
                  <c:v>11.549223789171</c:v>
                </c:pt>
                <c:pt idx="5">
                  <c:v>7.70695980642053</c:v>
                </c:pt>
                <c:pt idx="6">
                  <c:v>4.07949154811979</c:v>
                </c:pt>
                <c:pt idx="7">
                  <c:v>0.89408308272013</c:v>
                </c:pt>
                <c:pt idx="8">
                  <c:v>-1.5565196259852</c:v>
                </c:pt>
                <c:pt idx="9">
                  <c:v>-3.12674382166571</c:v>
                </c:pt>
                <c:pt idx="10">
                  <c:v>-3.98334667593421</c:v>
                </c:pt>
                <c:pt idx="11">
                  <c:v>-4.4570655990326</c:v>
                </c:pt>
                <c:pt idx="12">
                  <c:v>-4.85843370896753</c:v>
                </c:pt>
                <c:pt idx="13">
                  <c:v>-5.48045959155426</c:v>
                </c:pt>
                <c:pt idx="14">
                  <c:v>-6.65464898244906</c:v>
                </c:pt>
                <c:pt idx="15">
                  <c:v>-8.66143941769752</c:v>
                </c:pt>
                <c:pt idx="16">
                  <c:v>-11.5114319281866</c:v>
                </c:pt>
                <c:pt idx="17">
                  <c:v>-14.9520394294944</c:v>
                </c:pt>
                <c:pt idx="18">
                  <c:v>-18.7074783361088</c:v>
                </c:pt>
                <c:pt idx="19">
                  <c:v>-22.6061287184426</c:v>
                </c:pt>
                <c:pt idx="20">
                  <c:v>-26.5651096974275</c:v>
                </c:pt>
                <c:pt idx="21">
                  <c:v>-30.5486707473139</c:v>
                </c:pt>
                <c:pt idx="22">
                  <c:v>-34.5421088395103</c:v>
                </c:pt>
                <c:pt idx="23">
                  <c:v>-38.5394937213683</c:v>
                </c:pt>
                <c:pt idx="24">
                  <c:v>-42.53845218349</c:v>
                </c:pt>
                <c:pt idx="25">
                  <c:v>-46.538037469919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Sheet1!$F$42:$F$67</c:f>
              <c:numCache>
                <c:formatCode>General</c:formatCode>
                <c:ptCount val="26"/>
                <c:pt idx="0">
                  <c:v>-88.6422030414913</c:v>
                </c:pt>
                <c:pt idx="1">
                  <c:v>-87.8487622946943</c:v>
                </c:pt>
                <c:pt idx="2">
                  <c:v>-86.5934002834579</c:v>
                </c:pt>
                <c:pt idx="3">
                  <c:v>-84.6123202960698</c:v>
                </c:pt>
                <c:pt idx="4">
                  <c:v>-81.5059888964381</c:v>
                </c:pt>
                <c:pt idx="5">
                  <c:v>-76.7111597327195</c:v>
                </c:pt>
                <c:pt idx="6">
                  <c:v>-69.5791439971047</c:v>
                </c:pt>
                <c:pt idx="7">
                  <c:v>-59.7921745261161</c:v>
                </c:pt>
                <c:pt idx="8">
                  <c:v>-48.2422878759163</c:v>
                </c:pt>
                <c:pt idx="9">
                  <c:v>-37.3939549188807</c:v>
                </c:pt>
                <c:pt idx="10">
                  <c:v>-29.8494397782659</c:v>
                </c:pt>
                <c:pt idx="11">
                  <c:v>-26.9257361948629</c:v>
                </c:pt>
                <c:pt idx="12">
                  <c:v>-29.0061940516211</c:v>
                </c:pt>
                <c:pt idx="13">
                  <c:v>-36.2264328709869</c:v>
                </c:pt>
                <c:pt idx="14">
                  <c:v>-48.2651724681667</c:v>
                </c:pt>
                <c:pt idx="15">
                  <c:v>-63.6666374746553</c:v>
                </c:pt>
                <c:pt idx="16">
                  <c:v>-80.4673280996574</c:v>
                </c:pt>
                <c:pt idx="17">
                  <c:v>-98.1967850817801</c:v>
                </c:pt>
                <c:pt idx="18">
                  <c:v>-118.681383676931</c:v>
                </c:pt>
                <c:pt idx="19">
                  <c:v>-145.63779188001</c:v>
                </c:pt>
                <c:pt idx="20">
                  <c:v>-184.678106151041</c:v>
                </c:pt>
                <c:pt idx="21">
                  <c:v>-244.173860133242</c:v>
                </c:pt>
                <c:pt idx="22">
                  <c:v>-336.952970047824</c:v>
                </c:pt>
                <c:pt idx="23">
                  <c:v>-483.03823259321</c:v>
                </c:pt>
                <c:pt idx="24">
                  <c:v>-713.961315930471</c:v>
                </c:pt>
                <c:pt idx="25">
                  <c:v>-1079.56686156272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Sheet1!$G$6</c:f>
              <c:strCache>
                <c:ptCount val="1"/>
                <c:pt idx="0">
                  <c:v>mag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Sheet1!$G$42:$G$67</c:f>
              <c:numCache>
                <c:formatCode>General</c:formatCode>
                <c:ptCount val="26"/>
                <c:pt idx="0">
                  <c:v>71.4807751080229</c:v>
                </c:pt>
                <c:pt idx="1">
                  <c:v>63.484907614116</c:v>
                </c:pt>
                <c:pt idx="2">
                  <c:v>55.4952706022265</c:v>
                </c:pt>
                <c:pt idx="3">
                  <c:v>47.5211921592395</c:v>
                </c:pt>
                <c:pt idx="4">
                  <c:v>39.5856264391539</c:v>
                </c:pt>
                <c:pt idx="5">
                  <c:v>31.7433624564035</c:v>
                </c:pt>
                <c:pt idx="6">
                  <c:v>24.1158941981028</c:v>
                </c:pt>
                <c:pt idx="7">
                  <c:v>16.9304857327031</c:v>
                </c:pt>
                <c:pt idx="8">
                  <c:v>10.4798830239978</c:v>
                </c:pt>
                <c:pt idx="9">
                  <c:v>4.90965882831726</c:v>
                </c:pt>
                <c:pt idx="10">
                  <c:v>0.0530559740487524</c:v>
                </c:pt>
                <c:pt idx="11">
                  <c:v>-4.42066294904962</c:v>
                </c:pt>
                <c:pt idx="12">
                  <c:v>-8.82203105898456</c:v>
                </c:pt>
                <c:pt idx="13">
                  <c:v>-13.4440569415713</c:v>
                </c:pt>
                <c:pt idx="14">
                  <c:v>-18.6182463324661</c:v>
                </c:pt>
                <c:pt idx="15">
                  <c:v>-24.6250367677145</c:v>
                </c:pt>
                <c:pt idx="16">
                  <c:v>-31.4750292782036</c:v>
                </c:pt>
                <c:pt idx="17">
                  <c:v>-38.9156367795114</c:v>
                </c:pt>
                <c:pt idx="18">
                  <c:v>-46.6710756861258</c:v>
                </c:pt>
                <c:pt idx="19">
                  <c:v>-54.5697260684596</c:v>
                </c:pt>
                <c:pt idx="20">
                  <c:v>-62.5287070474446</c:v>
                </c:pt>
                <c:pt idx="21">
                  <c:v>-70.5122680973309</c:v>
                </c:pt>
                <c:pt idx="22">
                  <c:v>-78.5057061895273</c:v>
                </c:pt>
                <c:pt idx="23">
                  <c:v>-86.5030910713854</c:v>
                </c:pt>
                <c:pt idx="24">
                  <c:v>-94.502049533507</c:v>
                </c:pt>
                <c:pt idx="25">
                  <c:v>-102.501634819936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Sheet1!$H$6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Sheet1!$B$42:$B$67</c:f>
              <c:numCache>
                <c:formatCode>General</c:formatCode>
                <c:ptCount val="26"/>
                <c:pt idx="0">
                  <c:v>1</c:v>
                </c:pt>
                <c:pt idx="1">
                  <c:v>1.58489319246111</c:v>
                </c:pt>
                <c:pt idx="2">
                  <c:v>2.51188643150958</c:v>
                </c:pt>
                <c:pt idx="3">
                  <c:v>3.98107170553497</c:v>
                </c:pt>
                <c:pt idx="4">
                  <c:v>6.30957344480193</c:v>
                </c:pt>
                <c:pt idx="5">
                  <c:v>9.99999999999999</c:v>
                </c:pt>
                <c:pt idx="6">
                  <c:v>15.8489319246111</c:v>
                </c:pt>
                <c:pt idx="7">
                  <c:v>25.1188643150958</c:v>
                </c:pt>
                <c:pt idx="8">
                  <c:v>39.8107170553497</c:v>
                </c:pt>
                <c:pt idx="9">
                  <c:v>63.0957344480192</c:v>
                </c:pt>
                <c:pt idx="10">
                  <c:v>99.9999999999999</c:v>
                </c:pt>
                <c:pt idx="11">
                  <c:v>158.489319246111</c:v>
                </c:pt>
                <c:pt idx="12">
                  <c:v>251.188643150958</c:v>
                </c:pt>
                <c:pt idx="13">
                  <c:v>398.107170553497</c:v>
                </c:pt>
                <c:pt idx="14">
                  <c:v>630.957344480192</c:v>
                </c:pt>
                <c:pt idx="15">
                  <c:v>999.999999999998</c:v>
                </c:pt>
                <c:pt idx="16">
                  <c:v>1584.89319246111</c:v>
                </c:pt>
                <c:pt idx="17">
                  <c:v>2511.88643150957</c:v>
                </c:pt>
                <c:pt idx="18">
                  <c:v>3981.07170553497</c:v>
                </c:pt>
                <c:pt idx="19">
                  <c:v>6309.57344480192</c:v>
                </c:pt>
                <c:pt idx="20">
                  <c:v>9999.99999999998</c:v>
                </c:pt>
                <c:pt idx="21">
                  <c:v>15848.9319246111</c:v>
                </c:pt>
                <c:pt idx="22">
                  <c:v>25118.8643150957</c:v>
                </c:pt>
                <c:pt idx="23">
                  <c:v>39810.7170553496</c:v>
                </c:pt>
                <c:pt idx="24">
                  <c:v>63095.7344480192</c:v>
                </c:pt>
                <c:pt idx="25">
                  <c:v>99999.9999999998</c:v>
                </c:pt>
              </c:numCache>
            </c:numRef>
          </c:xVal>
          <c:yVal>
            <c:numRef>
              <c:f>Sheet1!$H$42:$H$67</c:f>
              <c:numCache>
                <c:formatCode>General</c:formatCode>
                <c:ptCount val="26"/>
                <c:pt idx="0">
                  <c:v>1.36139695850392</c:v>
                </c:pt>
                <c:pt idx="1">
                  <c:v>2.15694332077976</c:v>
                </c:pt>
                <c:pt idx="2">
                  <c:v>3.41564250762048</c:v>
                </c:pt>
                <c:pt idx="3">
                  <c:v>5.40201156177119</c:v>
                </c:pt>
                <c:pt idx="4">
                  <c:v>8.51672556677318</c:v>
                </c:pt>
                <c:pt idx="5">
                  <c:v>13.3248402625431</c:v>
                </c:pt>
                <c:pt idx="6">
                  <c:v>20.4779121389639</c:v>
                </c:pt>
                <c:pt idx="7">
                  <c:v>30.2982533103354</c:v>
                </c:pt>
                <c:pt idx="8">
                  <c:v>41.9010304065737</c:v>
                </c:pt>
                <c:pt idx="9">
                  <c:v>52.8331885351598</c:v>
                </c:pt>
                <c:pt idx="10">
                  <c:v>60.5105554844362</c:v>
                </c:pt>
                <c:pt idx="11">
                  <c:v>63.6448064955758</c:v>
                </c:pt>
                <c:pt idx="12">
                  <c:v>61.8980099920515</c:v>
                </c:pt>
                <c:pt idx="13">
                  <c:v>55.2064541448004</c:v>
                </c:pt>
                <c:pt idx="14">
                  <c:v>44.0050851092383</c:v>
                </c:pt>
                <c:pt idx="15">
                  <c:v>29.9286363052128</c:v>
                </c:pt>
                <c:pt idx="16">
                  <c:v>15.2195388503529</c:v>
                </c:pt>
                <c:pt idx="17">
                  <c:v>0.772025747441148</c:v>
                </c:pt>
                <c:pt idx="18">
                  <c:v>-14.6376926753942</c:v>
                </c:pt>
                <c:pt idx="19">
                  <c:v>-34.0123282176182</c:v>
                </c:pt>
                <c:pt idx="20">
                  <c:v>-62.5361985156986</c:v>
                </c:pt>
                <c:pt idx="21">
                  <c:v>-109.293923316515</c:v>
                </c:pt>
                <c:pt idx="22">
                  <c:v>-189.311613083957</c:v>
                </c:pt>
                <c:pt idx="23">
                  <c:v>-324.82873243175</c:v>
                </c:pt>
                <c:pt idx="24">
                  <c:v>-548.11848173682</c:v>
                </c:pt>
                <c:pt idx="25">
                  <c:v>-908.609922641754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2493"/>
        <c:axId val="682843316"/>
      </c:scatterChart>
      <c:valAx>
        <c:axId val="20320249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3316"/>
        <c:crosses val="autoZero"/>
        <c:crossBetween val="midCat"/>
      </c:valAx>
      <c:valAx>
        <c:axId val="682843316"/>
        <c:scaling>
          <c:orientation val="minMax"/>
          <c:max val="180"/>
          <c:min val="-1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202493"/>
        <c:crosses val="autoZero"/>
        <c:crossBetween val="midCat"/>
        <c:majorUnit val="4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4f8795-c0bc-4411-b498-ac6362398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558800</xdr:colOff>
      <xdr:row>15</xdr:row>
      <xdr:rowOff>0</xdr:rowOff>
    </xdr:to>
    <xdr:graphicFrame>
      <xdr:nvGraphicFramePr>
        <xdr:cNvPr id="13" name="Chart 12"/>
        <xdr:cNvGraphicFramePr/>
      </xdr:nvGraphicFramePr>
      <xdr:xfrm>
        <a:off x="790956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558800</xdr:colOff>
      <xdr:row>31</xdr:row>
      <xdr:rowOff>0</xdr:rowOff>
    </xdr:to>
    <xdr:graphicFrame>
      <xdr:nvGraphicFramePr>
        <xdr:cNvPr id="14" name="Chart 13"/>
        <xdr:cNvGraphicFramePr/>
      </xdr:nvGraphicFramePr>
      <xdr:xfrm>
        <a:off x="7909560" y="2926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0</xdr:row>
      <xdr:rowOff>0</xdr:rowOff>
    </xdr:from>
    <xdr:to>
      <xdr:col>24</xdr:col>
      <xdr:colOff>558800</xdr:colOff>
      <xdr:row>15</xdr:row>
      <xdr:rowOff>0</xdr:rowOff>
    </xdr:to>
    <xdr:graphicFrame>
      <xdr:nvGraphicFramePr>
        <xdr:cNvPr id="15" name="Chart 14"/>
        <xdr:cNvGraphicFramePr/>
      </xdr:nvGraphicFramePr>
      <xdr:xfrm>
        <a:off x="1278636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16</xdr:row>
      <xdr:rowOff>0</xdr:rowOff>
    </xdr:from>
    <xdr:to>
      <xdr:col>24</xdr:col>
      <xdr:colOff>558800</xdr:colOff>
      <xdr:row>31</xdr:row>
      <xdr:rowOff>0</xdr:rowOff>
    </xdr:to>
    <xdr:graphicFrame>
      <xdr:nvGraphicFramePr>
        <xdr:cNvPr id="16" name="Chart 15"/>
        <xdr:cNvGraphicFramePr/>
      </xdr:nvGraphicFramePr>
      <xdr:xfrm>
        <a:off x="12786360" y="2926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32</xdr:col>
      <xdr:colOff>558800</xdr:colOff>
      <xdr:row>15</xdr:row>
      <xdr:rowOff>0</xdr:rowOff>
    </xdr:to>
    <xdr:graphicFrame>
      <xdr:nvGraphicFramePr>
        <xdr:cNvPr id="17" name="Chart 16"/>
        <xdr:cNvGraphicFramePr/>
      </xdr:nvGraphicFramePr>
      <xdr:xfrm>
        <a:off x="1766316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32</xdr:col>
      <xdr:colOff>558800</xdr:colOff>
      <xdr:row>31</xdr:row>
      <xdr:rowOff>0</xdr:rowOff>
    </xdr:to>
    <xdr:graphicFrame>
      <xdr:nvGraphicFramePr>
        <xdr:cNvPr id="18" name="Chart 17"/>
        <xdr:cNvGraphicFramePr/>
      </xdr:nvGraphicFramePr>
      <xdr:xfrm>
        <a:off x="17663160" y="2926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558800</xdr:colOff>
      <xdr:row>50</xdr:row>
      <xdr:rowOff>0</xdr:rowOff>
    </xdr:to>
    <xdr:graphicFrame>
      <xdr:nvGraphicFramePr>
        <xdr:cNvPr id="25" name="Chart 24"/>
        <xdr:cNvGraphicFramePr/>
      </xdr:nvGraphicFramePr>
      <xdr:xfrm>
        <a:off x="7909560" y="640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16</xdr:col>
      <xdr:colOff>558800</xdr:colOff>
      <xdr:row>66</xdr:row>
      <xdr:rowOff>0</xdr:rowOff>
    </xdr:to>
    <xdr:graphicFrame>
      <xdr:nvGraphicFramePr>
        <xdr:cNvPr id="26" name="Chart 25"/>
        <xdr:cNvGraphicFramePr/>
      </xdr:nvGraphicFramePr>
      <xdr:xfrm>
        <a:off x="7909560" y="9326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35</xdr:row>
      <xdr:rowOff>0</xdr:rowOff>
    </xdr:from>
    <xdr:to>
      <xdr:col>24</xdr:col>
      <xdr:colOff>558800</xdr:colOff>
      <xdr:row>50</xdr:row>
      <xdr:rowOff>0</xdr:rowOff>
    </xdr:to>
    <xdr:graphicFrame>
      <xdr:nvGraphicFramePr>
        <xdr:cNvPr id="27" name="Chart 26"/>
        <xdr:cNvGraphicFramePr/>
      </xdr:nvGraphicFramePr>
      <xdr:xfrm>
        <a:off x="12786360" y="640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24</xdr:col>
      <xdr:colOff>558800</xdr:colOff>
      <xdr:row>66</xdr:row>
      <xdr:rowOff>0</xdr:rowOff>
    </xdr:to>
    <xdr:graphicFrame>
      <xdr:nvGraphicFramePr>
        <xdr:cNvPr id="28" name="Chart 27"/>
        <xdr:cNvGraphicFramePr/>
      </xdr:nvGraphicFramePr>
      <xdr:xfrm>
        <a:off x="12786360" y="9326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0</xdr:colOff>
      <xdr:row>35</xdr:row>
      <xdr:rowOff>0</xdr:rowOff>
    </xdr:from>
    <xdr:to>
      <xdr:col>32</xdr:col>
      <xdr:colOff>558800</xdr:colOff>
      <xdr:row>50</xdr:row>
      <xdr:rowOff>0</xdr:rowOff>
    </xdr:to>
    <xdr:graphicFrame>
      <xdr:nvGraphicFramePr>
        <xdr:cNvPr id="29" name="Chart 28"/>
        <xdr:cNvGraphicFramePr/>
      </xdr:nvGraphicFramePr>
      <xdr:xfrm>
        <a:off x="17663160" y="640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0</xdr:colOff>
      <xdr:row>51</xdr:row>
      <xdr:rowOff>0</xdr:rowOff>
    </xdr:from>
    <xdr:to>
      <xdr:col>32</xdr:col>
      <xdr:colOff>558800</xdr:colOff>
      <xdr:row>66</xdr:row>
      <xdr:rowOff>0</xdr:rowOff>
    </xdr:to>
    <xdr:graphicFrame>
      <xdr:nvGraphicFramePr>
        <xdr:cNvPr id="30" name="Chart 29"/>
        <xdr:cNvGraphicFramePr/>
      </xdr:nvGraphicFramePr>
      <xdr:xfrm>
        <a:off x="17663160" y="9326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zoomScale="85" zoomScaleNormal="85" topLeftCell="A23" workbookViewId="0">
      <selection activeCell="H36" sqref="H36"/>
    </sheetView>
  </sheetViews>
  <sheetFormatPr defaultColWidth="8.88888888888889" defaultRowHeight="14.4" outlineLevelCol="7"/>
  <cols>
    <col min="2" max="2" width="12.8888888888889"/>
    <col min="3" max="8" width="14.1111111111111"/>
  </cols>
  <sheetData>
    <row r="1" spans="1:8">
      <c r="C1" t="s">
        <v>0</v>
      </c>
      <c r="D1">
        <f>0.00002</f>
        <v>2e-5</v>
      </c>
      <c r="E1" t="s">
        <v>1</v>
      </c>
      <c r="F1">
        <v>3950</v>
      </c>
      <c r="G1" t="s">
        <v>2</v>
      </c>
      <c r="H1">
        <f>F1/F2</f>
        <v>7.9</v>
      </c>
    </row>
    <row r="2" spans="1:8">
      <c r="E2" t="s">
        <v>3</v>
      </c>
      <c r="F2" s="1">
        <v>500</v>
      </c>
      <c r="G2" t="s">
        <v>4</v>
      </c>
      <c r="H2">
        <f>F1*D1</f>
        <v>0.079</v>
      </c>
    </row>
    <row r="3" spans="1:8">
      <c r="C3" t="s">
        <v>5</v>
      </c>
      <c r="D3" s="1">
        <f>1*0.0005</f>
        <v>0.0005</v>
      </c>
      <c r="E3" t="s">
        <v>6</v>
      </c>
      <c r="F3" s="1">
        <f>2*PI()*50000</f>
        <v>314159.265358979</v>
      </c>
    </row>
    <row r="4" spans="1:8">
      <c r="C4" t="s">
        <v>7</v>
      </c>
      <c r="D4">
        <v>0.01</v>
      </c>
      <c r="E4" t="s">
        <v>8</v>
      </c>
      <c r="F4">
        <f>0.00002*(1+3/8)</f>
        <v>2.75e-5</v>
      </c>
    </row>
    <row r="5" spans="1:8">
      <c r="C5" s="2" t="s">
        <v>9</v>
      </c>
      <c r="D5" s="2"/>
      <c r="E5" s="2" t="s">
        <v>10</v>
      </c>
      <c r="F5" s="2"/>
      <c r="G5" s="2" t="s">
        <v>11</v>
      </c>
      <c r="H5" s="2"/>
    </row>
    <row r="6" spans="1:8">
      <c r="A6" t="s">
        <v>12</v>
      </c>
      <c r="B6" t="s">
        <v>13</v>
      </c>
      <c r="C6" t="s">
        <v>14</v>
      </c>
      <c r="D6" t="s">
        <v>15</v>
      </c>
      <c r="E6" t="s">
        <v>14</v>
      </c>
      <c r="F6" t="s">
        <v>15</v>
      </c>
      <c r="G6" t="s">
        <v>14</v>
      </c>
      <c r="H6" t="s">
        <v>15</v>
      </c>
    </row>
    <row r="7" spans="1:8">
      <c r="A7">
        <v>0</v>
      </c>
      <c r="B7">
        <f t="shared" ref="B7:B32" si="0">10^A7</f>
        <v>1</v>
      </c>
      <c r="C7">
        <f>-20*LOG10(SQRT((2*PI()*B7*$D$3)^2+($D$4)^2))</f>
        <v>39.5912243921165</v>
      </c>
      <c r="D7">
        <f>-180/PI()*ATAN2($D$4,2*PI()*B7*$D$3)</f>
        <v>-17.4405944905119</v>
      </c>
      <c r="E7">
        <f>20*LOG10($F$1)+20*LOG10(SQRT((2*PI()*B7/$F$2)^2+1))-20*LOG10(SQRT((2*PI()*B7/$F$3)^2+1))-20*LOG10(2*PI()*B7)</f>
        <v>55.9690302998428</v>
      </c>
      <c r="F7">
        <f>180/PI()*ATAN2(1,2*PI()*B7/$F$2)-180/PI()*ATAN2(1,2*PI()*B7/$F$3)-360*$F$4*B7-90</f>
        <v>-89.2910838112805</v>
      </c>
      <c r="G7">
        <f>C7+E7</f>
        <v>95.5602546919593</v>
      </c>
      <c r="H7">
        <f>D7+F7+180</f>
        <v>73.2683216982076</v>
      </c>
    </row>
    <row r="8" spans="1:8">
      <c r="A8">
        <v>0.2</v>
      </c>
      <c r="B8">
        <f t="shared" si="0"/>
        <v>1.58489319246111</v>
      </c>
      <c r="C8">
        <f t="shared" ref="C8:C25" si="1">-20*LOG10(SQRT((2*PI()*B8*$D$3)^2+($D$4)^2))</f>
        <v>39.0381560272065</v>
      </c>
      <c r="D8">
        <f t="shared" ref="D8:D32" si="2">-180/PI()*ATAN2($D$4,2*PI()*B8*$D$3)</f>
        <v>-26.4691211924443</v>
      </c>
      <c r="E8">
        <f t="shared" ref="E8:E32" si="3">20*LOG10($F$1)+20*LOG10(SQRT((2*PI()*B8/$F$2)^2+1))-20*LOG10(SQRT((2*PI()*B8/$F$3)^2+1))-20*LOG10(2*PI()*B8)</f>
        <v>51.9700668771637</v>
      </c>
      <c r="F8">
        <f t="shared" ref="F8:F32" si="4">180/PI()*ATAN2(1,2*PI()*B8/$F$2)-180/PI()*ATAN2(1,2*PI()*B8/$F$3)-360*$F$4*B8-90</f>
        <v>-88.876534341707</v>
      </c>
      <c r="G8">
        <f t="shared" ref="G8:G32" si="5">C8+E8</f>
        <v>91.0082229043702</v>
      </c>
      <c r="H8">
        <f t="shared" ref="H8:H32" si="6">D8+F8+180</f>
        <v>64.6543444658486</v>
      </c>
    </row>
    <row r="9" spans="1:8">
      <c r="A9">
        <v>0.4</v>
      </c>
      <c r="B9">
        <f t="shared" si="0"/>
        <v>2.51188643150958</v>
      </c>
      <c r="C9">
        <f t="shared" si="1"/>
        <v>37.8975375129056</v>
      </c>
      <c r="D9">
        <f t="shared" si="2"/>
        <v>-38.2781148968874</v>
      </c>
      <c r="E9">
        <f t="shared" si="3"/>
        <v>47.9726695509253</v>
      </c>
      <c r="F9">
        <f t="shared" si="4"/>
        <v>-88.2197881590949</v>
      </c>
      <c r="G9">
        <f t="shared" si="5"/>
        <v>85.8702070638309</v>
      </c>
      <c r="H9">
        <f t="shared" si="6"/>
        <v>53.5020969440177</v>
      </c>
    </row>
    <row r="10" spans="1:8">
      <c r="A10">
        <v>0.6</v>
      </c>
      <c r="B10">
        <f t="shared" si="0"/>
        <v>3.98107170553497</v>
      </c>
      <c r="C10">
        <f t="shared" si="1"/>
        <v>35.9104355108373</v>
      </c>
      <c r="D10">
        <f t="shared" si="2"/>
        <v>-51.3556270565495</v>
      </c>
      <c r="E10">
        <f t="shared" si="3"/>
        <v>43.9792003004264</v>
      </c>
      <c r="F10">
        <f t="shared" si="4"/>
        <v>-87.1799906525049</v>
      </c>
      <c r="G10">
        <f t="shared" si="5"/>
        <v>79.8896358112637</v>
      </c>
      <c r="H10">
        <f t="shared" si="6"/>
        <v>41.4643822909456</v>
      </c>
    </row>
    <row r="11" spans="1:8">
      <c r="A11">
        <v>0.8</v>
      </c>
      <c r="B11">
        <f t="shared" si="0"/>
        <v>6.30957344480193</v>
      </c>
      <c r="C11">
        <f t="shared" si="1"/>
        <v>33.0722705956551</v>
      </c>
      <c r="D11">
        <f t="shared" si="2"/>
        <v>-63.229641402524</v>
      </c>
      <c r="E11">
        <f t="shared" si="3"/>
        <v>39.9955616152343</v>
      </c>
      <c r="F11">
        <f t="shared" si="4"/>
        <v>-85.5362862559078</v>
      </c>
      <c r="G11">
        <f t="shared" si="5"/>
        <v>73.0678322108894</v>
      </c>
      <c r="H11">
        <f t="shared" si="6"/>
        <v>31.2340723415682</v>
      </c>
    </row>
    <row r="12" spans="1:8">
      <c r="A12">
        <v>1</v>
      </c>
      <c r="B12">
        <f t="shared" si="0"/>
        <v>9.99999999999999</v>
      </c>
      <c r="C12">
        <f t="shared" si="1"/>
        <v>29.637862617601</v>
      </c>
      <c r="D12">
        <f t="shared" si="2"/>
        <v>-72.3432128485871</v>
      </c>
      <c r="E12">
        <f t="shared" si="3"/>
        <v>36.0363895471236</v>
      </c>
      <c r="F12">
        <f t="shared" si="4"/>
        <v>-82.948003349024</v>
      </c>
      <c r="G12">
        <f t="shared" si="5"/>
        <v>65.6742521647246</v>
      </c>
      <c r="H12">
        <f t="shared" si="6"/>
        <v>24.7087838023889</v>
      </c>
    </row>
    <row r="13" spans="1:8">
      <c r="A13">
        <v>1.2</v>
      </c>
      <c r="B13">
        <f t="shared" si="0"/>
        <v>15.8489319246111</v>
      </c>
      <c r="C13">
        <f t="shared" si="1"/>
        <v>25.8852633951396</v>
      </c>
      <c r="D13">
        <f t="shared" si="2"/>
        <v>-78.6437998250039</v>
      </c>
      <c r="E13">
        <f t="shared" si="3"/>
        <v>32.1372830283561</v>
      </c>
      <c r="F13">
        <f t="shared" si="4"/>
        <v>-78.9112225441982</v>
      </c>
      <c r="G13">
        <f t="shared" si="5"/>
        <v>58.0225464234957</v>
      </c>
      <c r="H13">
        <f t="shared" si="6"/>
        <v>22.4449776307979</v>
      </c>
    </row>
    <row r="14" spans="1:8">
      <c r="A14">
        <v>1.4</v>
      </c>
      <c r="B14">
        <f t="shared" si="0"/>
        <v>25.1188643150958</v>
      </c>
      <c r="C14">
        <f t="shared" si="1"/>
        <v>21.9878161587514</v>
      </c>
      <c r="D14">
        <f t="shared" si="2"/>
        <v>-82.7778900127961</v>
      </c>
      <c r="E14">
        <f t="shared" si="3"/>
        <v>28.3808360637346</v>
      </c>
      <c r="F14">
        <f t="shared" si="4"/>
        <v>-72.7590052304183</v>
      </c>
      <c r="G14">
        <f t="shared" si="5"/>
        <v>50.3686522224859</v>
      </c>
      <c r="H14">
        <f t="shared" si="6"/>
        <v>24.4631047567856</v>
      </c>
    </row>
    <row r="15" spans="1:8">
      <c r="A15">
        <v>1.6</v>
      </c>
      <c r="B15">
        <f t="shared" si="0"/>
        <v>39.8107170553497</v>
      </c>
      <c r="C15">
        <f t="shared" si="1"/>
        <v>18.0293267551661</v>
      </c>
      <c r="D15">
        <f t="shared" si="2"/>
        <v>-85.4285935000844</v>
      </c>
      <c r="E15">
        <f t="shared" si="3"/>
        <v>24.9384017849612</v>
      </c>
      <c r="F15">
        <f t="shared" si="4"/>
        <v>-63.8620348138036</v>
      </c>
      <c r="G15">
        <f t="shared" si="5"/>
        <v>42.9677285401273</v>
      </c>
      <c r="H15">
        <f t="shared" si="6"/>
        <v>30.7093716861119</v>
      </c>
    </row>
    <row r="16" spans="1:8">
      <c r="A16">
        <v>1.8</v>
      </c>
      <c r="B16">
        <f t="shared" si="0"/>
        <v>63.0957344480192</v>
      </c>
      <c r="C16">
        <f t="shared" si="1"/>
        <v>14.0459634759083</v>
      </c>
      <c r="D16">
        <f t="shared" si="2"/>
        <v>-87.1119498631784</v>
      </c>
      <c r="E16">
        <f t="shared" si="3"/>
        <v>22.0866569849551</v>
      </c>
      <c r="F16">
        <f t="shared" si="4"/>
        <v>-52.2866005678806</v>
      </c>
      <c r="G16">
        <f t="shared" si="5"/>
        <v>36.1326204608634</v>
      </c>
      <c r="H16">
        <f t="shared" si="6"/>
        <v>40.601449568941</v>
      </c>
    </row>
    <row r="17" spans="1:8">
      <c r="A17">
        <v>2</v>
      </c>
      <c r="B17">
        <f t="shared" si="0"/>
        <v>99.9999999999999</v>
      </c>
      <c r="C17">
        <f t="shared" si="1"/>
        <v>10.0526044507468</v>
      </c>
      <c r="D17">
        <f t="shared" si="2"/>
        <v>-88.1768342791859</v>
      </c>
      <c r="E17">
        <f t="shared" si="3"/>
        <v>20.0830707938971</v>
      </c>
      <c r="F17">
        <f t="shared" si="4"/>
        <v>-39.6164786602044</v>
      </c>
      <c r="G17">
        <f t="shared" si="5"/>
        <v>30.1356752446439</v>
      </c>
      <c r="H17">
        <f t="shared" si="6"/>
        <v>52.2066870606098</v>
      </c>
    </row>
    <row r="18" spans="1:8">
      <c r="A18">
        <v>2.2</v>
      </c>
      <c r="B18">
        <f t="shared" si="0"/>
        <v>158.489319246111</v>
      </c>
      <c r="C18">
        <f t="shared" si="1"/>
        <v>6.05525109915436</v>
      </c>
      <c r="D18">
        <f t="shared" si="2"/>
        <v>-88.8494264749841</v>
      </c>
      <c r="E18">
        <f t="shared" si="3"/>
        <v>18.9289032978624</v>
      </c>
      <c r="F18">
        <f t="shared" si="4"/>
        <v>-28.4118817246708</v>
      </c>
      <c r="G18">
        <f t="shared" si="5"/>
        <v>24.9841543970167</v>
      </c>
      <c r="H18">
        <f t="shared" si="6"/>
        <v>62.7386918003452</v>
      </c>
    </row>
    <row r="19" spans="1:8">
      <c r="A19">
        <v>2.4</v>
      </c>
      <c r="B19">
        <f t="shared" si="0"/>
        <v>251.188643150958</v>
      </c>
      <c r="C19">
        <f t="shared" si="1"/>
        <v>2.05630519789518</v>
      </c>
      <c r="D19">
        <f t="shared" si="2"/>
        <v>-89.2739784453716</v>
      </c>
      <c r="E19">
        <f t="shared" si="3"/>
        <v>18.3677980595813</v>
      </c>
      <c r="F19">
        <f t="shared" si="4"/>
        <v>-20.3529963416534</v>
      </c>
      <c r="G19">
        <f t="shared" si="5"/>
        <v>20.4241032574764</v>
      </c>
      <c r="H19">
        <f t="shared" si="6"/>
        <v>70.3730252129751</v>
      </c>
    </row>
    <row r="20" spans="1:8">
      <c r="A20">
        <v>2.6</v>
      </c>
      <c r="B20">
        <f t="shared" si="0"/>
        <v>398.107170553497</v>
      </c>
      <c r="C20">
        <f t="shared" si="1"/>
        <v>-1.94327508662584</v>
      </c>
      <c r="D20">
        <f t="shared" si="2"/>
        <v>-89.5418966103686</v>
      </c>
      <c r="E20">
        <f t="shared" si="3"/>
        <v>18.1224154938758</v>
      </c>
      <c r="F20">
        <f t="shared" si="4"/>
        <v>-15.701297143328</v>
      </c>
      <c r="G20">
        <f t="shared" si="5"/>
        <v>16.17914040725</v>
      </c>
      <c r="H20">
        <f t="shared" si="6"/>
        <v>74.7568062463034</v>
      </c>
    </row>
    <row r="21" spans="1:8">
      <c r="A21">
        <v>2.8</v>
      </c>
      <c r="B21">
        <f t="shared" si="0"/>
        <v>630.957344480192</v>
      </c>
      <c r="C21">
        <f t="shared" si="1"/>
        <v>-5.94310798359492</v>
      </c>
      <c r="D21">
        <f t="shared" si="2"/>
        <v>-89.7109525945669</v>
      </c>
      <c r="E21">
        <f t="shared" si="3"/>
        <v>18.0203885717766</v>
      </c>
      <c r="F21">
        <f t="shared" si="4"/>
        <v>-14.1577559492541</v>
      </c>
      <c r="G21">
        <f t="shared" si="5"/>
        <v>12.0772805881816</v>
      </c>
      <c r="H21">
        <f t="shared" si="6"/>
        <v>76.131291456179</v>
      </c>
    </row>
    <row r="22" spans="1:8">
      <c r="A22">
        <v>3</v>
      </c>
      <c r="B22">
        <f t="shared" si="0"/>
        <v>999.999999999998</v>
      </c>
      <c r="C22">
        <f t="shared" si="1"/>
        <v>-9.94304145689069</v>
      </c>
      <c r="D22">
        <f t="shared" si="2"/>
        <v>-89.817622485399</v>
      </c>
      <c r="E22">
        <f t="shared" si="3"/>
        <v>17.9782203011723</v>
      </c>
      <c r="F22">
        <f t="shared" si="4"/>
        <v>-15.5956281472962</v>
      </c>
      <c r="G22">
        <f t="shared" si="5"/>
        <v>8.03517884428162</v>
      </c>
      <c r="H22">
        <f t="shared" si="6"/>
        <v>74.5867493673048</v>
      </c>
    </row>
    <row r="23" spans="1:8">
      <c r="A23">
        <v>3.2</v>
      </c>
      <c r="B23">
        <f t="shared" si="0"/>
        <v>1584.89319246111</v>
      </c>
      <c r="C23">
        <f t="shared" si="1"/>
        <v>-13.9430149718491</v>
      </c>
      <c r="D23">
        <f t="shared" si="2"/>
        <v>-89.8849273337745</v>
      </c>
      <c r="E23">
        <f t="shared" si="3"/>
        <v>17.9591153959683</v>
      </c>
      <c r="F23">
        <f t="shared" si="4"/>
        <v>-20.3803951713868</v>
      </c>
      <c r="G23">
        <f t="shared" si="5"/>
        <v>4.01610042411915</v>
      </c>
      <c r="H23">
        <f t="shared" si="6"/>
        <v>69.7346774948387</v>
      </c>
    </row>
    <row r="24" spans="1:8">
      <c r="A24" s="3">
        <v>3.4</v>
      </c>
      <c r="B24" s="3">
        <f t="shared" si="0"/>
        <v>2511.88643150957</v>
      </c>
      <c r="C24" s="3">
        <f t="shared" si="1"/>
        <v>-17.9430044279192</v>
      </c>
      <c r="D24" s="3">
        <f t="shared" si="2"/>
        <v>-89.9273939973378</v>
      </c>
      <c r="E24" s="3">
        <f t="shared" si="3"/>
        <v>17.945951372973</v>
      </c>
      <c r="F24" s="3">
        <f t="shared" si="4"/>
        <v>-29.5582117643109</v>
      </c>
      <c r="G24" s="3">
        <f t="shared" si="5"/>
        <v>0.00294694505386417</v>
      </c>
      <c r="H24" s="3">
        <f t="shared" si="6"/>
        <v>60.5143942383513</v>
      </c>
    </row>
    <row r="25" spans="1:8">
      <c r="A25">
        <v>3.6</v>
      </c>
      <c r="B25">
        <f t="shared" si="0"/>
        <v>3981.07170553497</v>
      </c>
      <c r="C25">
        <f t="shared" si="1"/>
        <v>-21.943000230298</v>
      </c>
      <c r="D25">
        <f t="shared" si="2"/>
        <v>-89.9541886946075</v>
      </c>
      <c r="E25">
        <f t="shared" si="3"/>
        <v>17.9268312294</v>
      </c>
      <c r="F25">
        <f t="shared" si="4"/>
        <v>-45.1101085837066</v>
      </c>
      <c r="G25">
        <f t="shared" si="5"/>
        <v>-4.01616900089791</v>
      </c>
      <c r="H25">
        <f t="shared" si="6"/>
        <v>44.9357027216859</v>
      </c>
    </row>
    <row r="26" spans="1:8">
      <c r="A26">
        <v>3.8</v>
      </c>
      <c r="B26">
        <f t="shared" si="0"/>
        <v>6309.57344480192</v>
      </c>
      <c r="C26">
        <f t="shared" ref="C26:C32" si="7">-20*LOG10(SQRT((2*PI()*B26*$D$3)^2+($D$4)^2))</f>
        <v>-25.9429985591937</v>
      </c>
      <c r="D26">
        <f t="shared" si="2"/>
        <v>-89.971095016695</v>
      </c>
      <c r="E26">
        <f t="shared" si="3"/>
        <v>17.8846191628591</v>
      </c>
      <c r="F26">
        <f t="shared" si="4"/>
        <v>-70.3795857895653</v>
      </c>
      <c r="G26">
        <f t="shared" si="5"/>
        <v>-8.05837939633457</v>
      </c>
      <c r="H26">
        <f t="shared" si="6"/>
        <v>19.6493191937397</v>
      </c>
    </row>
    <row r="27" spans="1:8">
      <c r="A27">
        <v>4</v>
      </c>
      <c r="B27">
        <f t="shared" si="0"/>
        <v>9999.99999999998</v>
      </c>
      <c r="C27">
        <f t="shared" si="7"/>
        <v>-29.9429978939149</v>
      </c>
      <c r="D27">
        <f t="shared" si="2"/>
        <v>-89.9817621875603</v>
      </c>
      <c r="E27">
        <f t="shared" si="3"/>
        <v>17.7824834443069</v>
      </c>
      <c r="F27">
        <f t="shared" si="4"/>
        <v>-110.765868176418</v>
      </c>
      <c r="G27">
        <f t="shared" si="5"/>
        <v>-12.160514449608</v>
      </c>
      <c r="H27">
        <f t="shared" si="6"/>
        <v>-20.7476303639782</v>
      </c>
    </row>
    <row r="28" spans="1:8">
      <c r="A28">
        <v>4.2</v>
      </c>
      <c r="B28">
        <f t="shared" si="0"/>
        <v>15848.9319246111</v>
      </c>
      <c r="C28">
        <f t="shared" si="7"/>
        <v>-33.9429976290627</v>
      </c>
      <c r="D28">
        <f t="shared" si="2"/>
        <v>-89.98849271806</v>
      </c>
      <c r="E28">
        <f t="shared" si="3"/>
        <v>17.5368476980688</v>
      </c>
      <c r="F28">
        <f t="shared" si="4"/>
        <v>-174.779608604498</v>
      </c>
      <c r="G28">
        <f t="shared" si="5"/>
        <v>-16.4061499309939</v>
      </c>
      <c r="H28">
        <f t="shared" si="6"/>
        <v>-84.768101322558</v>
      </c>
    </row>
    <row r="29" spans="1:8">
      <c r="A29">
        <v>4.4</v>
      </c>
      <c r="B29">
        <f t="shared" si="0"/>
        <v>25118.8643150957</v>
      </c>
      <c r="C29">
        <f t="shared" si="7"/>
        <v>-37.9429975236231</v>
      </c>
      <c r="D29">
        <f t="shared" si="2"/>
        <v>-89.9927393958862</v>
      </c>
      <c r="E29">
        <f t="shared" si="3"/>
        <v>16.9752139908898</v>
      </c>
      <c r="F29">
        <f t="shared" si="4"/>
        <v>-275.532185519871</v>
      </c>
      <c r="G29">
        <f t="shared" si="5"/>
        <v>-20.9677835327333</v>
      </c>
      <c r="H29">
        <f t="shared" si="6"/>
        <v>-185.524924915757</v>
      </c>
    </row>
    <row r="30" spans="1:8">
      <c r="A30">
        <v>4.6</v>
      </c>
      <c r="B30">
        <f t="shared" si="0"/>
        <v>39810.7170553496</v>
      </c>
      <c r="C30">
        <f t="shared" si="7"/>
        <v>-41.9429974816468</v>
      </c>
      <c r="D30">
        <f t="shared" si="2"/>
        <v>-89.9954188684943</v>
      </c>
      <c r="E30">
        <f t="shared" si="3"/>
        <v>15.8201522097312</v>
      </c>
      <c r="F30">
        <f t="shared" si="4"/>
        <v>-432.767933300645</v>
      </c>
      <c r="G30">
        <f t="shared" si="5"/>
        <v>-26.1228452719156</v>
      </c>
      <c r="H30">
        <f t="shared" si="6"/>
        <v>-342.76335216914</v>
      </c>
    </row>
    <row r="31" spans="1:8">
      <c r="A31">
        <v>4.8</v>
      </c>
      <c r="B31">
        <f t="shared" si="0"/>
        <v>63095.7344480192</v>
      </c>
      <c r="C31">
        <f t="shared" si="7"/>
        <v>-45.9429974649358</v>
      </c>
      <c r="D31">
        <f t="shared" si="2"/>
        <v>-89.9971095014267</v>
      </c>
      <c r="E31">
        <f t="shared" si="3"/>
        <v>13.8154805562783</v>
      </c>
      <c r="F31">
        <f t="shared" si="4"/>
        <v>-676.325088359103</v>
      </c>
      <c r="G31">
        <f t="shared" si="5"/>
        <v>-32.1275169086575</v>
      </c>
      <c r="H31">
        <f t="shared" si="6"/>
        <v>-586.32219786053</v>
      </c>
    </row>
    <row r="32" spans="1:8">
      <c r="A32">
        <v>5</v>
      </c>
      <c r="B32">
        <f t="shared" si="0"/>
        <v>99999.9999999998</v>
      </c>
      <c r="C32">
        <f t="shared" si="7"/>
        <v>-49.942997458283</v>
      </c>
      <c r="D32">
        <f t="shared" si="2"/>
        <v>-89.9981762186951</v>
      </c>
      <c r="E32">
        <f t="shared" si="3"/>
        <v>10.9628445326497</v>
      </c>
      <c r="F32">
        <f t="shared" si="4"/>
        <v>-1053.48054334593</v>
      </c>
      <c r="G32">
        <f t="shared" si="5"/>
        <v>-38.9801529256333</v>
      </c>
      <c r="H32">
        <f t="shared" si="6"/>
        <v>-963.47871956463</v>
      </c>
    </row>
    <row r="36" spans="1:8">
      <c r="C36" t="s">
        <v>0</v>
      </c>
      <c r="D36">
        <f>0.00002</f>
        <v>2e-5</v>
      </c>
      <c r="E36" t="s">
        <v>1</v>
      </c>
      <c r="F36">
        <v>148</v>
      </c>
      <c r="G36" t="s">
        <v>2</v>
      </c>
      <c r="H36">
        <f>F36/F37</f>
        <v>0.592</v>
      </c>
    </row>
    <row r="37" spans="1:8">
      <c r="E37" t="s">
        <v>3</v>
      </c>
      <c r="F37" s="1">
        <v>250</v>
      </c>
      <c r="G37" t="s">
        <v>4</v>
      </c>
      <c r="H37">
        <f>F36*D36</f>
        <v>0.00296</v>
      </c>
    </row>
    <row r="38" spans="1:8">
      <c r="C38" t="s">
        <v>16</v>
      </c>
      <c r="D38" s="1">
        <v>0.001</v>
      </c>
      <c r="E38" t="s">
        <v>6</v>
      </c>
      <c r="F38" s="1">
        <v>5000</v>
      </c>
      <c r="G38" t="s">
        <v>17</v>
      </c>
      <c r="H38">
        <f>F38*D36/(1+F38*D36)</f>
        <v>0.0909090909090909</v>
      </c>
    </row>
    <row r="39" spans="1:8">
      <c r="C39" t="s">
        <v>7</v>
      </c>
      <c r="D39">
        <v>0.01</v>
      </c>
      <c r="E39" t="s">
        <v>8</v>
      </c>
      <c r="F39">
        <f>0.00002*(1+3/8)</f>
        <v>2.75e-5</v>
      </c>
    </row>
    <row r="40" spans="1:8">
      <c r="C40" s="2" t="s">
        <v>9</v>
      </c>
      <c r="D40" s="2"/>
      <c r="E40" s="2" t="s">
        <v>10</v>
      </c>
      <c r="F40" s="2"/>
      <c r="G40" s="2" t="s">
        <v>11</v>
      </c>
      <c r="H40" s="2"/>
    </row>
    <row r="41" spans="1:8">
      <c r="A41" t="s">
        <v>12</v>
      </c>
      <c r="B41" t="s">
        <v>13</v>
      </c>
      <c r="C41" t="s">
        <v>14</v>
      </c>
      <c r="D41" t="s">
        <v>15</v>
      </c>
      <c r="E41" t="s">
        <v>14</v>
      </c>
      <c r="F41" t="s">
        <v>15</v>
      </c>
      <c r="G41" t="s">
        <v>14</v>
      </c>
      <c r="H41" t="s">
        <v>15</v>
      </c>
    </row>
    <row r="42" spans="1:8">
      <c r="A42">
        <v>0</v>
      </c>
      <c r="B42">
        <f t="shared" ref="B42:B67" si="8">10^A42</f>
        <v>1</v>
      </c>
      <c r="C42">
        <f>20*LOG10(SQRT((2*PI()*$D$39*$D$38)^2+1))-20*LOG10(2*PI()*B42*$D$38)</f>
        <v>44.036402649983</v>
      </c>
      <c r="D42">
        <f>180/PI()*ATAN2(1,2*PI()*B42*$D$38*$D$39)-90</f>
        <v>-89.9964000000047</v>
      </c>
      <c r="E42">
        <f>20*LOG10($F$36)+20*LOG10(SQRT((2*PI()*B42/$F$37)^2+1))-20*LOG10(SQRT((2*PI()*B42/$F$38)^2+1))-20*LOG10(2*PI()*B42)</f>
        <v>27.4443724580399</v>
      </c>
      <c r="F42">
        <f>180/PI()*ATAN2(1,2*PI()*B42/$F$37)-180/PI()*ATAN2(1,2*PI()*B42/$F$38)-360*$F$39*B42-90</f>
        <v>-88.6422030414913</v>
      </c>
      <c r="G42">
        <f t="shared" ref="G42:G67" si="9">C42+E42</f>
        <v>71.4807751080229</v>
      </c>
      <c r="H42">
        <f t="shared" ref="H42:H67" si="10">D42+F42+180</f>
        <v>1.36139695850392</v>
      </c>
    </row>
    <row r="43" spans="1:8">
      <c r="A43">
        <v>0.2</v>
      </c>
      <c r="B43">
        <f t="shared" si="8"/>
        <v>1.58489319246111</v>
      </c>
      <c r="C43">
        <f t="shared" ref="C43:C67" si="11">20*LOG10(SQRT((2*PI()*$D$39*$D$38)^2+1))-20*LOG10(2*PI()*B43*$D$38)</f>
        <v>40.036402649983</v>
      </c>
      <c r="D43">
        <f t="shared" ref="D43:D67" si="12">180/PI()*ATAN2(1,2*PI()*B43*$D$38*$D$39)-90</f>
        <v>-89.994294384526</v>
      </c>
      <c r="E43">
        <f t="shared" ref="E43:E67" si="13">20*LOG10($F$36)+20*LOG10(SQRT((2*PI()*B43/$F$37)^2+1))-20*LOG10(SQRT((2*PI()*B43/$F$38)^2+1))-20*LOG10(2*PI()*B43)</f>
        <v>23.448504964133</v>
      </c>
      <c r="F43">
        <f t="shared" ref="F43:F67" si="14">180/PI()*ATAN2(1,2*PI()*B43/$F$37)-180/PI()*ATAN2(1,2*PI()*B43/$F$38)-360*$F$39*B43-90</f>
        <v>-87.8487622946943</v>
      </c>
      <c r="G43">
        <f t="shared" si="9"/>
        <v>63.484907614116</v>
      </c>
      <c r="H43">
        <f t="shared" si="10"/>
        <v>2.15694332077976</v>
      </c>
    </row>
    <row r="44" spans="1:8">
      <c r="A44">
        <v>0.4</v>
      </c>
      <c r="B44">
        <f t="shared" si="8"/>
        <v>2.51188643150958</v>
      </c>
      <c r="C44">
        <f t="shared" si="11"/>
        <v>36.036402649983</v>
      </c>
      <c r="D44">
        <f t="shared" si="12"/>
        <v>-89.9909572089216</v>
      </c>
      <c r="E44">
        <f t="shared" si="13"/>
        <v>19.4588679522436</v>
      </c>
      <c r="F44">
        <f t="shared" si="14"/>
        <v>-86.5934002834579</v>
      </c>
      <c r="G44">
        <f t="shared" si="9"/>
        <v>55.4952706022265</v>
      </c>
      <c r="H44">
        <f t="shared" si="10"/>
        <v>3.41564250762048</v>
      </c>
    </row>
    <row r="45" spans="1:8">
      <c r="A45">
        <v>0.6</v>
      </c>
      <c r="B45">
        <f t="shared" si="8"/>
        <v>3.98107170553497</v>
      </c>
      <c r="C45">
        <f t="shared" si="11"/>
        <v>32.036402649983</v>
      </c>
      <c r="D45">
        <f t="shared" si="12"/>
        <v>-89.985668142159</v>
      </c>
      <c r="E45">
        <f t="shared" si="13"/>
        <v>15.4847895092565</v>
      </c>
      <c r="F45">
        <f t="shared" si="14"/>
        <v>-84.6123202960698</v>
      </c>
      <c r="G45">
        <f t="shared" si="9"/>
        <v>47.5211921592395</v>
      </c>
      <c r="H45">
        <f t="shared" si="10"/>
        <v>5.40201156177119</v>
      </c>
    </row>
    <row r="46" spans="1:8">
      <c r="A46">
        <v>0.8</v>
      </c>
      <c r="B46">
        <f t="shared" si="8"/>
        <v>6.30957344480193</v>
      </c>
      <c r="C46">
        <f t="shared" si="11"/>
        <v>28.036402649983</v>
      </c>
      <c r="D46">
        <f t="shared" si="12"/>
        <v>-89.9772855367887</v>
      </c>
      <c r="E46">
        <f t="shared" si="13"/>
        <v>11.549223789171</v>
      </c>
      <c r="F46">
        <f t="shared" si="14"/>
        <v>-81.5059888964381</v>
      </c>
      <c r="G46">
        <f t="shared" si="9"/>
        <v>39.5856264391539</v>
      </c>
      <c r="H46">
        <f t="shared" si="10"/>
        <v>8.51672556677318</v>
      </c>
    </row>
    <row r="47" spans="1:8">
      <c r="A47">
        <v>1</v>
      </c>
      <c r="B47">
        <f t="shared" si="8"/>
        <v>9.99999999999999</v>
      </c>
      <c r="C47">
        <f t="shared" si="11"/>
        <v>24.036402649983</v>
      </c>
      <c r="D47">
        <f t="shared" si="12"/>
        <v>-89.9640000047374</v>
      </c>
      <c r="E47">
        <f t="shared" si="13"/>
        <v>7.70695980642053</v>
      </c>
      <c r="F47">
        <f t="shared" si="14"/>
        <v>-76.7111597327195</v>
      </c>
      <c r="G47">
        <f t="shared" si="9"/>
        <v>31.7433624564035</v>
      </c>
      <c r="H47">
        <f t="shared" si="10"/>
        <v>13.3248402625431</v>
      </c>
    </row>
    <row r="48" spans="1:8">
      <c r="A48">
        <v>1.2</v>
      </c>
      <c r="B48">
        <f t="shared" si="8"/>
        <v>15.8489319246111</v>
      </c>
      <c r="C48">
        <f t="shared" si="11"/>
        <v>20.036402649983</v>
      </c>
      <c r="D48">
        <f t="shared" si="12"/>
        <v>-89.9429438639314</v>
      </c>
      <c r="E48">
        <f t="shared" si="13"/>
        <v>4.07949154811979</v>
      </c>
      <c r="F48">
        <f t="shared" si="14"/>
        <v>-69.5791439971047</v>
      </c>
      <c r="G48">
        <f t="shared" si="9"/>
        <v>24.1158941981028</v>
      </c>
      <c r="H48">
        <f t="shared" si="10"/>
        <v>20.4779121389639</v>
      </c>
    </row>
    <row r="49" spans="1:8">
      <c r="A49">
        <v>1.4</v>
      </c>
      <c r="B49">
        <f t="shared" si="8"/>
        <v>25.1188643150958</v>
      </c>
      <c r="C49">
        <f t="shared" si="11"/>
        <v>16.036402649983</v>
      </c>
      <c r="D49">
        <f t="shared" si="12"/>
        <v>-89.9095721635484</v>
      </c>
      <c r="E49">
        <f t="shared" si="13"/>
        <v>0.89408308272013</v>
      </c>
      <c r="F49">
        <f t="shared" si="14"/>
        <v>-59.7921745261161</v>
      </c>
      <c r="G49">
        <f t="shared" si="9"/>
        <v>16.9304857327031</v>
      </c>
      <c r="H49">
        <f t="shared" si="10"/>
        <v>30.2982533103354</v>
      </c>
    </row>
    <row r="50" spans="1:8">
      <c r="A50">
        <v>1.6</v>
      </c>
      <c r="B50">
        <f t="shared" si="8"/>
        <v>39.8107170553497</v>
      </c>
      <c r="C50">
        <f t="shared" si="11"/>
        <v>12.036402649983</v>
      </c>
      <c r="D50">
        <f t="shared" si="12"/>
        <v>-89.85668171751</v>
      </c>
      <c r="E50">
        <f t="shared" si="13"/>
        <v>-1.5565196259852</v>
      </c>
      <c r="F50">
        <f t="shared" si="14"/>
        <v>-48.2422878759163</v>
      </c>
      <c r="G50">
        <f t="shared" si="9"/>
        <v>10.4798830239978</v>
      </c>
      <c r="H50">
        <f t="shared" si="10"/>
        <v>41.9010304065737</v>
      </c>
    </row>
    <row r="51" spans="1:8">
      <c r="A51">
        <v>1.8</v>
      </c>
      <c r="B51">
        <f t="shared" si="8"/>
        <v>63.0957344480192</v>
      </c>
      <c r="C51">
        <f t="shared" si="11"/>
        <v>8.03640264998297</v>
      </c>
      <c r="D51">
        <f t="shared" si="12"/>
        <v>-89.7728565459595</v>
      </c>
      <c r="E51">
        <f t="shared" si="13"/>
        <v>-3.12674382166571</v>
      </c>
      <c r="F51">
        <f t="shared" si="14"/>
        <v>-37.3939549188807</v>
      </c>
      <c r="G51">
        <f t="shared" si="9"/>
        <v>4.90965882831726</v>
      </c>
      <c r="H51">
        <f t="shared" si="10"/>
        <v>52.8331885351598</v>
      </c>
    </row>
    <row r="52" spans="1:8">
      <c r="A52" s="3">
        <v>2</v>
      </c>
      <c r="B52" s="3">
        <f t="shared" si="8"/>
        <v>99.9999999999999</v>
      </c>
      <c r="C52" s="3">
        <f t="shared" si="11"/>
        <v>4.03640264998297</v>
      </c>
      <c r="D52" s="3">
        <f t="shared" si="12"/>
        <v>-89.6400047372979</v>
      </c>
      <c r="E52" s="3">
        <f t="shared" si="13"/>
        <v>-3.98334667593421</v>
      </c>
      <c r="F52" s="3">
        <f t="shared" si="14"/>
        <v>-29.8494397782659</v>
      </c>
      <c r="G52" s="3">
        <f t="shared" si="9"/>
        <v>0.0530559740487524</v>
      </c>
      <c r="H52" s="3">
        <f t="shared" si="10"/>
        <v>60.5105554844362</v>
      </c>
    </row>
    <row r="53" spans="1:8">
      <c r="A53">
        <v>2.2</v>
      </c>
      <c r="B53">
        <f t="shared" si="8"/>
        <v>158.489319246111</v>
      </c>
      <c r="C53">
        <f t="shared" si="11"/>
        <v>0.0364026499829723</v>
      </c>
      <c r="D53">
        <f t="shared" si="12"/>
        <v>-89.4294573095613</v>
      </c>
      <c r="E53">
        <f t="shared" si="13"/>
        <v>-4.4570655990326</v>
      </c>
      <c r="F53">
        <f t="shared" si="14"/>
        <v>-26.9257361948629</v>
      </c>
      <c r="G53">
        <f t="shared" si="9"/>
        <v>-4.42066294904962</v>
      </c>
      <c r="H53">
        <f t="shared" si="10"/>
        <v>63.6448064955758</v>
      </c>
    </row>
    <row r="54" spans="1:8">
      <c r="A54">
        <v>2.4</v>
      </c>
      <c r="B54">
        <f t="shared" si="8"/>
        <v>251.188643150958</v>
      </c>
      <c r="C54">
        <f t="shared" si="11"/>
        <v>-3.96359735001703</v>
      </c>
      <c r="D54">
        <f t="shared" si="12"/>
        <v>-89.0957959563274</v>
      </c>
      <c r="E54">
        <f t="shared" si="13"/>
        <v>-4.85843370896753</v>
      </c>
      <c r="F54">
        <f t="shared" si="14"/>
        <v>-29.0061940516211</v>
      </c>
      <c r="G54">
        <f t="shared" si="9"/>
        <v>-8.82203105898456</v>
      </c>
      <c r="H54">
        <f t="shared" si="10"/>
        <v>61.8980099920515</v>
      </c>
    </row>
    <row r="55" spans="1:8">
      <c r="A55">
        <v>2.6</v>
      </c>
      <c r="B55">
        <f t="shared" si="8"/>
        <v>398.107170553497</v>
      </c>
      <c r="C55">
        <f t="shared" si="11"/>
        <v>-7.96359735001703</v>
      </c>
      <c r="D55">
        <f t="shared" si="12"/>
        <v>-88.5671129842127</v>
      </c>
      <c r="E55">
        <f t="shared" si="13"/>
        <v>-5.48045959155426</v>
      </c>
      <c r="F55">
        <f t="shared" si="14"/>
        <v>-36.2264328709869</v>
      </c>
      <c r="G55">
        <f t="shared" si="9"/>
        <v>-13.4440569415713</v>
      </c>
      <c r="H55">
        <f t="shared" si="10"/>
        <v>55.2064541448004</v>
      </c>
    </row>
    <row r="56" spans="1:8">
      <c r="A56">
        <v>2.8</v>
      </c>
      <c r="B56">
        <f t="shared" si="8"/>
        <v>630.957344480192</v>
      </c>
      <c r="C56">
        <f t="shared" si="11"/>
        <v>-11.963597350017</v>
      </c>
      <c r="D56">
        <f t="shared" si="12"/>
        <v>-87.729742422595</v>
      </c>
      <c r="E56">
        <f t="shared" si="13"/>
        <v>-6.65464898244906</v>
      </c>
      <c r="F56">
        <f t="shared" si="14"/>
        <v>-48.2651724681667</v>
      </c>
      <c r="G56">
        <f t="shared" si="9"/>
        <v>-18.6182463324661</v>
      </c>
      <c r="H56">
        <f t="shared" si="10"/>
        <v>44.0050851092383</v>
      </c>
    </row>
    <row r="57" spans="1:8">
      <c r="A57">
        <v>3</v>
      </c>
      <c r="B57">
        <f t="shared" si="8"/>
        <v>999.999999999998</v>
      </c>
      <c r="C57">
        <f t="shared" si="11"/>
        <v>-15.963597350017</v>
      </c>
      <c r="D57">
        <f t="shared" si="12"/>
        <v>-86.4047262201318</v>
      </c>
      <c r="E57">
        <f t="shared" si="13"/>
        <v>-8.66143941769752</v>
      </c>
      <c r="F57">
        <f t="shared" si="14"/>
        <v>-63.6666374746553</v>
      </c>
      <c r="G57">
        <f t="shared" si="9"/>
        <v>-24.6250367677145</v>
      </c>
      <c r="H57">
        <f t="shared" si="10"/>
        <v>29.9286363052128</v>
      </c>
    </row>
    <row r="58" spans="1:8">
      <c r="A58">
        <v>3.2</v>
      </c>
      <c r="B58">
        <f t="shared" si="8"/>
        <v>1584.89319246111</v>
      </c>
      <c r="C58">
        <f t="shared" si="11"/>
        <v>-19.963597350017</v>
      </c>
      <c r="D58">
        <f t="shared" si="12"/>
        <v>-84.3131330499896</v>
      </c>
      <c r="E58">
        <f t="shared" si="13"/>
        <v>-11.5114319281866</v>
      </c>
      <c r="F58">
        <f t="shared" si="14"/>
        <v>-80.4673280996574</v>
      </c>
      <c r="G58">
        <f t="shared" si="9"/>
        <v>-31.4750292782036</v>
      </c>
      <c r="H58">
        <f t="shared" si="10"/>
        <v>15.2195388503529</v>
      </c>
    </row>
    <row r="59" spans="1:8">
      <c r="A59" s="4">
        <v>3.4</v>
      </c>
      <c r="B59" s="4">
        <f t="shared" si="8"/>
        <v>2511.88643150957</v>
      </c>
      <c r="C59" s="4">
        <f t="shared" si="11"/>
        <v>-23.963597350017</v>
      </c>
      <c r="D59" s="4">
        <f t="shared" si="12"/>
        <v>-81.0311891707787</v>
      </c>
      <c r="E59">
        <f t="shared" si="13"/>
        <v>-14.9520394294944</v>
      </c>
      <c r="F59">
        <f t="shared" si="14"/>
        <v>-98.1967850817801</v>
      </c>
      <c r="G59" s="4">
        <f t="shared" si="9"/>
        <v>-38.9156367795114</v>
      </c>
      <c r="H59" s="4">
        <f t="shared" si="10"/>
        <v>0.772025747441148</v>
      </c>
    </row>
    <row r="60" spans="1:8">
      <c r="A60">
        <v>3.6</v>
      </c>
      <c r="B60">
        <f t="shared" si="8"/>
        <v>3981.07170553497</v>
      </c>
      <c r="C60">
        <f t="shared" si="11"/>
        <v>-27.963597350017</v>
      </c>
      <c r="D60">
        <f t="shared" si="12"/>
        <v>-75.9563089984628</v>
      </c>
      <c r="E60">
        <f t="shared" si="13"/>
        <v>-18.7074783361088</v>
      </c>
      <c r="F60">
        <f t="shared" si="14"/>
        <v>-118.681383676931</v>
      </c>
      <c r="G60">
        <f t="shared" si="9"/>
        <v>-46.6710756861258</v>
      </c>
      <c r="H60">
        <f t="shared" si="10"/>
        <v>-14.6376926753942</v>
      </c>
    </row>
    <row r="61" spans="1:8">
      <c r="A61">
        <v>3.8</v>
      </c>
      <c r="B61">
        <f t="shared" si="8"/>
        <v>6309.57344480192</v>
      </c>
      <c r="C61">
        <f t="shared" si="11"/>
        <v>-31.963597350017</v>
      </c>
      <c r="D61">
        <f t="shared" si="12"/>
        <v>-68.3745363376085</v>
      </c>
      <c r="E61">
        <f t="shared" si="13"/>
        <v>-22.6061287184426</v>
      </c>
      <c r="F61">
        <f t="shared" si="14"/>
        <v>-145.63779188001</v>
      </c>
      <c r="G61">
        <f t="shared" si="9"/>
        <v>-54.5697260684596</v>
      </c>
      <c r="H61">
        <f t="shared" si="10"/>
        <v>-34.0123282176182</v>
      </c>
    </row>
    <row r="62" spans="1:8">
      <c r="A62">
        <v>4</v>
      </c>
      <c r="B62">
        <f t="shared" si="8"/>
        <v>9999.99999999998</v>
      </c>
      <c r="C62">
        <f t="shared" si="11"/>
        <v>-35.963597350017</v>
      </c>
      <c r="D62">
        <f t="shared" si="12"/>
        <v>-57.858092364658</v>
      </c>
      <c r="E62">
        <f t="shared" si="13"/>
        <v>-26.5651096974275</v>
      </c>
      <c r="F62">
        <f t="shared" si="14"/>
        <v>-184.678106151041</v>
      </c>
      <c r="G62">
        <f t="shared" si="9"/>
        <v>-62.5287070474446</v>
      </c>
      <c r="H62">
        <f t="shared" si="10"/>
        <v>-62.5361985156986</v>
      </c>
    </row>
    <row r="63" spans="1:8">
      <c r="A63">
        <v>4.2</v>
      </c>
      <c r="B63">
        <f t="shared" si="8"/>
        <v>15848.9319246111</v>
      </c>
      <c r="C63">
        <f t="shared" si="11"/>
        <v>-39.963597350017</v>
      </c>
      <c r="D63">
        <f t="shared" si="12"/>
        <v>-45.1200631832732</v>
      </c>
      <c r="E63">
        <f t="shared" si="13"/>
        <v>-30.5486707473139</v>
      </c>
      <c r="F63">
        <f t="shared" si="14"/>
        <v>-244.173860133242</v>
      </c>
      <c r="G63">
        <f t="shared" si="9"/>
        <v>-70.5122680973309</v>
      </c>
      <c r="H63">
        <f t="shared" si="10"/>
        <v>-109.293923316515</v>
      </c>
    </row>
    <row r="64" spans="1:8">
      <c r="A64">
        <v>4.4</v>
      </c>
      <c r="B64">
        <f t="shared" si="8"/>
        <v>25118.8643150957</v>
      </c>
      <c r="C64">
        <f t="shared" si="11"/>
        <v>-43.963597350017</v>
      </c>
      <c r="D64">
        <f t="shared" si="12"/>
        <v>-32.3586430361323</v>
      </c>
      <c r="E64">
        <f t="shared" si="13"/>
        <v>-34.5421088395103</v>
      </c>
      <c r="F64">
        <f t="shared" si="14"/>
        <v>-336.952970047824</v>
      </c>
      <c r="G64">
        <f t="shared" si="9"/>
        <v>-78.5057061895273</v>
      </c>
      <c r="H64">
        <f t="shared" si="10"/>
        <v>-189.311613083957</v>
      </c>
    </row>
    <row r="65" spans="1:8">
      <c r="A65">
        <v>4.6</v>
      </c>
      <c r="B65">
        <f t="shared" si="8"/>
        <v>39810.7170553496</v>
      </c>
      <c r="C65">
        <f t="shared" si="11"/>
        <v>-47.963597350017</v>
      </c>
      <c r="D65">
        <f t="shared" si="12"/>
        <v>-21.7904998385399</v>
      </c>
      <c r="E65">
        <f t="shared" si="13"/>
        <v>-38.5394937213683</v>
      </c>
      <c r="F65">
        <f t="shared" si="14"/>
        <v>-483.03823259321</v>
      </c>
      <c r="G65">
        <f t="shared" si="9"/>
        <v>-86.5030910713854</v>
      </c>
      <c r="H65">
        <f t="shared" si="10"/>
        <v>-324.82873243175</v>
      </c>
    </row>
    <row r="66" spans="1:8">
      <c r="A66">
        <v>4.8</v>
      </c>
      <c r="B66">
        <f t="shared" si="8"/>
        <v>63095.7344480192</v>
      </c>
      <c r="C66">
        <f t="shared" si="11"/>
        <v>-51.963597350017</v>
      </c>
      <c r="D66">
        <f t="shared" si="12"/>
        <v>-14.1571658063497</v>
      </c>
      <c r="E66">
        <f t="shared" si="13"/>
        <v>-42.53845218349</v>
      </c>
      <c r="F66">
        <f t="shared" si="14"/>
        <v>-713.961315930471</v>
      </c>
      <c r="G66">
        <f t="shared" si="9"/>
        <v>-94.502049533507</v>
      </c>
      <c r="H66">
        <f t="shared" si="10"/>
        <v>-548.11848173682</v>
      </c>
    </row>
    <row r="67" spans="1:8">
      <c r="A67">
        <v>5</v>
      </c>
      <c r="B67">
        <f t="shared" si="8"/>
        <v>99999.9999999998</v>
      </c>
      <c r="C67">
        <f t="shared" si="11"/>
        <v>-55.963597350017</v>
      </c>
      <c r="D67">
        <f t="shared" si="12"/>
        <v>-9.0430610790377</v>
      </c>
      <c r="E67">
        <f t="shared" si="13"/>
        <v>-46.538037469919</v>
      </c>
      <c r="F67">
        <f t="shared" si="14"/>
        <v>-1079.56686156272</v>
      </c>
      <c r="G67">
        <f t="shared" si="9"/>
        <v>-102.501634819936</v>
      </c>
      <c r="H67">
        <f t="shared" si="10"/>
        <v>-908.609922641754</v>
      </c>
    </row>
  </sheetData>
  <mergeCells count="6">
    <mergeCell ref="C5:D5"/>
    <mergeCell ref="E5:F5"/>
    <mergeCell ref="G5:H5"/>
    <mergeCell ref="C40:D40"/>
    <mergeCell ref="E40:F40"/>
    <mergeCell ref="G40:H4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2026-08-05T07:22:47Z</dcterms:created>
  <dcterms:modified xsi:type="dcterms:W3CDTF">2026-08-05T08:39:33Z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6230DCCD4D0E45EB967807A67B92DCA1_11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