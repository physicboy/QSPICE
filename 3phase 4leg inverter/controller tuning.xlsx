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51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<sst xmlns="http://schemas.openxmlformats.org/spreadsheetml/2006/main" count="17" uniqueCount="15">
  <si>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L</t>
  </si>
  <si>
    <t>C</t>
  </si>
  <si>
    <t>R</t>
  </si>
  <si>
    <t>Fsw</t>
  </si>
  <si>
    <t>Tdelay</t>
  </si>
  <si>
    <t>wc</t>
  </si>
  <si>
    <t>ph_margin</t>
  </si>
  <si>
    <t>z(i)</t>
  </si>
  <si>
    <t>z(v)</t>
  </si>
  <si>
    <t>Kp(i)</t>
  </si>
  <si>
    <t>Kp(v)</t>
  </si>
  <si>
    <t>Ki(i)</t>
  </si>
  <si>
    <t>Ki(v)</t>
  </si>
  <si>
    <t>KiTs(i)</t>
  </si>
  <si>
    <t>KiTs(v)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</si>
</sst>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121" zoomScaleNormal="121" workbookViewId="0">
      <selection activeCell="E11" sqref="E11"/>
    </sheetView>
  </sheetViews>
  <sheetFormatPr defaultColWidth="9.14285714285714" defaultRowHeight="15" outlineLevelCol="4"/>
  <cols>
    <col min="1" max="1" width="14.6285714285714" customWidth="1"/>
    <col min="2" max="2" width="12.8571428571429"/>
    <col min="5" max="5" width="12.8571428571429"/>
  </cols>
  <sheetData>
    <row r="1" spans="1:5">
      <c r="A1" t="s">
        <v>0</v>
      </c>
      <c r="B1">
        <v>0.002</v>
      </c>
      <c r="D1" t="s">
        <v>1</v>
      </c>
      <c r="E1">
        <f>0.001</f>
        <v>0.001</v>
      </c>
    </row>
    <row r="2" spans="1:2">
      <c r="A2" t="s">
        <v>2</v>
      </c>
      <c r="B2">
        <v>0.01</v>
      </c>
    </row>
    <row r="3" spans="1:2">
      <c r="A3" t="s">
        <v>3</v>
      </c>
      <c r="B3">
        <v>12000</v>
      </c>
    </row>
    <row r="4" spans="1:2">
      <c r="A4" t="s">
        <v>4</v>
      </c>
      <c r="B4">
        <f>1.5/B3</f>
        <v>0.000125</v>
      </c>
    </row>
    <row r="5" spans="1:5">
      <c r="A5" t="s">
        <v>5</v>
      </c>
      <c r="B5">
        <f>2*PI()*12000/20</f>
        <v>3769.91118430775</v>
      </c>
      <c r="D5" t="s">
        <v>5</v>
      </c>
      <c r="E5">
        <f>2*PI()*15</f>
        <v>94.2477796076938</v>
      </c>
    </row>
    <row r="6" spans="1:5">
      <c r="A6" t="s">
        <v>6</v>
      </c>
      <c r="B6">
        <v>60</v>
      </c>
      <c r="D6" t="s">
        <v>6</v>
      </c>
      <c r="E6">
        <v>60</v>
      </c>
    </row>
    <row r="8" spans="1:5">
      <c r="A8" t="s">
        <v>7</v>
      </c>
      <c r="B8">
        <f>B5/TAN(B6*PI()/180-PI()/2+B5*B4+ATAN(B5*B1/B2))</f>
        <v>202.586754659166</v>
      </c>
      <c r="D8" t="s">
        <v>8</v>
      </c>
      <c r="E8">
        <f>E5/TAN(PI()*E6/180+E5*B4)</f>
        <v>52.9434742503324</v>
      </c>
    </row>
    <row r="9" spans="1:5">
      <c r="A9" t="s">
        <v>9</v>
      </c>
      <c r="B9">
        <f>B5*SQRT((B5*B1)^2+B2^2)/SQRT(B5^2+B8^2)</f>
        <v>7.5289659445402</v>
      </c>
      <c r="D9" t="s">
        <v>10</v>
      </c>
      <c r="E9">
        <f>E5^2*E1/SQRT(E5^2+E8^2)</f>
        <v>0.0821704597208336</v>
      </c>
    </row>
    <row r="10" spans="1:5">
      <c r="A10" t="s">
        <v>11</v>
      </c>
      <c r="B10">
        <f>B8*B9</f>
        <v>1525.26877664378</v>
      </c>
      <c r="D10" t="s">
        <v>12</v>
      </c>
      <c r="E10">
        <f>E8*E9</f>
        <v>4.35038961836793</v>
      </c>
    </row>
    <row r="11" spans="1:5">
      <c r="A11" t="s">
        <v>13</v>
      </c>
      <c r="B11">
        <f>B10/B3</f>
        <v>0.127105731386982</v>
      </c>
      <c r="D11" t="s">
        <v>14</v>
      </c>
      <c r="E11">
        <f>E10/B3</f>
        <v>0.000362532468197328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2025-05-20T14:59:08Z</dcterms:created>
  <dcterms:modified xsi:type="dcterms:W3CDTF">2025-05-21T04:32:27Z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14C000DC3A864569AF325122E2CFBC2B_11</vt:lpwstr>
  </property>
  <property fmtid="{D5CDD505-2E9C-101B-9397-08002B2CF9AE}" pid="3" name="KSOProductBuildVer">
    <vt:lpwstr>1033-12.2.0.21179</vt:lpwstr>
  </property>
</Properties>
</file>